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1"/>
  <workbookPr/>
  <mc:AlternateContent xmlns:mc="http://schemas.openxmlformats.org/markup-compatibility/2006">
    <mc:Choice Requires="x15">
      <x15ac:absPath xmlns:x15ac="http://schemas.microsoft.com/office/spreadsheetml/2010/11/ac" url="https://d.docs.live.net/DD4208CD743CA33F/"/>
    </mc:Choice>
  </mc:AlternateContent>
  <xr:revisionPtr revIDLastSave="0" documentId="8_{8DA434B3-2730-AB45-91E2-00E3F3ED36EC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r. ARTHUR VIEIRA" sheetId="1" r:id="rId1"/>
    <sheet name="Novos Medicamentos" sheetId="9" r:id="rId2"/>
    <sheet name="Planilha1" sheetId="11" r:id="rId3"/>
    <sheet name="Dr. CARLOS H" sheetId="15" r:id="rId4"/>
    <sheet name="Folha de Parada" sheetId="5" r:id="rId5"/>
    <sheet name="Infusão de Insulina" sheetId="6" r:id="rId6"/>
    <sheet name="UTI" sheetId="4" r:id="rId7"/>
    <sheet name="Macetes de Calculos" sheetId="8" r:id="rId8"/>
    <sheet name="SEGURANÇA" sheetId="13" r:id="rId9"/>
    <sheet name="DR. CARLOS HENRICK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RiF9FBCefSheikHCMyWNBR/6rfYPV71CQyzG5WnHX2I="/>
    </ext>
  </extLst>
</workbook>
</file>

<file path=xl/calcChain.xml><?xml version="1.0" encoding="utf-8"?>
<calcChain xmlns="http://schemas.openxmlformats.org/spreadsheetml/2006/main">
  <c r="B253" i="15" l="1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0" i="15"/>
  <c r="B228" i="15"/>
  <c r="B227" i="15"/>
  <c r="B226" i="15"/>
  <c r="B225" i="15"/>
  <c r="B224" i="15"/>
  <c r="B222" i="15"/>
  <c r="B221" i="15"/>
  <c r="B220" i="15"/>
  <c r="B219" i="15"/>
  <c r="B218" i="15"/>
  <c r="B217" i="15"/>
  <c r="B216" i="15"/>
  <c r="B214" i="15"/>
  <c r="B213" i="15"/>
  <c r="B212" i="15"/>
  <c r="B211" i="15"/>
  <c r="B210" i="15"/>
  <c r="B209" i="15"/>
  <c r="B208" i="15"/>
  <c r="B206" i="15"/>
  <c r="B205" i="15"/>
  <c r="B204" i="15"/>
  <c r="B203" i="15"/>
  <c r="B201" i="15"/>
  <c r="B200" i="15"/>
  <c r="B199" i="15"/>
  <c r="B197" i="15"/>
  <c r="B196" i="15"/>
  <c r="B195" i="15"/>
  <c r="B194" i="15"/>
  <c r="B193" i="15"/>
  <c r="B192" i="15"/>
  <c r="B190" i="15"/>
  <c r="B189" i="15"/>
  <c r="B187" i="15"/>
  <c r="B185" i="15"/>
  <c r="B184" i="15"/>
  <c r="B183" i="15"/>
  <c r="B182" i="15"/>
  <c r="B181" i="15"/>
  <c r="B180" i="15"/>
  <c r="B179" i="15"/>
  <c r="B177" i="15"/>
  <c r="B176" i="15"/>
  <c r="B175" i="15"/>
  <c r="B174" i="15"/>
  <c r="B173" i="15"/>
  <c r="B171" i="15"/>
  <c r="B170" i="15"/>
  <c r="B169" i="15"/>
  <c r="B168" i="15"/>
  <c r="B167" i="15"/>
  <c r="B166" i="15"/>
  <c r="B165" i="15"/>
  <c r="B163" i="15"/>
  <c r="B162" i="15"/>
  <c r="B161" i="15"/>
  <c r="E159" i="15"/>
  <c r="D159" i="15"/>
  <c r="C159" i="15"/>
  <c r="B159" i="15"/>
  <c r="E157" i="15"/>
  <c r="D157" i="15"/>
  <c r="C157" i="15"/>
  <c r="B157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2" i="15"/>
  <c r="B141" i="15"/>
  <c r="B140" i="15"/>
  <c r="B139" i="15"/>
  <c r="B138" i="15"/>
  <c r="B137" i="15"/>
  <c r="B136" i="15"/>
  <c r="B134" i="15"/>
  <c r="B132" i="15"/>
  <c r="B131" i="15"/>
  <c r="B129" i="15"/>
  <c r="C128" i="15"/>
  <c r="B128" i="15"/>
  <c r="C127" i="15"/>
  <c r="B127" i="15"/>
  <c r="B126" i="15"/>
  <c r="C125" i="15"/>
  <c r="B125" i="15"/>
  <c r="B123" i="15"/>
  <c r="B122" i="15"/>
  <c r="B121" i="15"/>
  <c r="B120" i="15"/>
  <c r="B119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99" i="15"/>
  <c r="B98" i="15"/>
  <c r="B96" i="15"/>
  <c r="B94" i="15"/>
  <c r="B93" i="15"/>
  <c r="B92" i="15"/>
  <c r="B91" i="15"/>
  <c r="B90" i="15"/>
  <c r="B89" i="15"/>
  <c r="B88" i="15"/>
  <c r="B87" i="15"/>
  <c r="B85" i="15"/>
  <c r="B83" i="15"/>
  <c r="B81" i="15"/>
  <c r="B80" i="15"/>
  <c r="B79" i="15"/>
  <c r="B78" i="15"/>
  <c r="B77" i="15"/>
  <c r="B76" i="15"/>
  <c r="B75" i="15"/>
  <c r="B74" i="15"/>
  <c r="B72" i="15"/>
  <c r="B71" i="15"/>
  <c r="B69" i="15"/>
  <c r="B68" i="15"/>
  <c r="B67" i="15"/>
  <c r="B66" i="15"/>
  <c r="B65" i="15"/>
  <c r="B64" i="15"/>
  <c r="B63" i="15"/>
  <c r="B62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E6" i="15"/>
  <c r="B6" i="15"/>
  <c r="B5" i="15"/>
  <c r="E4" i="15"/>
  <c r="B4" i="15"/>
  <c r="B74" i="1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0" i="14"/>
  <c r="B228" i="14"/>
  <c r="B227" i="14"/>
  <c r="B226" i="14"/>
  <c r="B225" i="14"/>
  <c r="B224" i="14"/>
  <c r="B222" i="14"/>
  <c r="B221" i="14"/>
  <c r="B220" i="14"/>
  <c r="B219" i="14"/>
  <c r="B218" i="14"/>
  <c r="B217" i="14"/>
  <c r="B216" i="14"/>
  <c r="B214" i="14"/>
  <c r="B213" i="14"/>
  <c r="B212" i="14"/>
  <c r="B211" i="14"/>
  <c r="B210" i="14"/>
  <c r="B209" i="14"/>
  <c r="B208" i="14"/>
  <c r="B206" i="14"/>
  <c r="B205" i="14"/>
  <c r="B204" i="14"/>
  <c r="B203" i="14"/>
  <c r="B201" i="14"/>
  <c r="B200" i="14"/>
  <c r="B199" i="14"/>
  <c r="B197" i="14"/>
  <c r="B196" i="14"/>
  <c r="B195" i="14"/>
  <c r="B194" i="14"/>
  <c r="B193" i="14"/>
  <c r="B192" i="14"/>
  <c r="B190" i="14"/>
  <c r="B189" i="14"/>
  <c r="B187" i="14"/>
  <c r="B185" i="14"/>
  <c r="B184" i="14"/>
  <c r="B183" i="14"/>
  <c r="B182" i="14"/>
  <c r="B181" i="14"/>
  <c r="B180" i="14"/>
  <c r="B179" i="14"/>
  <c r="B177" i="14"/>
  <c r="B176" i="14"/>
  <c r="B175" i="14"/>
  <c r="B174" i="14"/>
  <c r="B173" i="14"/>
  <c r="B171" i="14"/>
  <c r="B170" i="14"/>
  <c r="B169" i="14"/>
  <c r="B168" i="14"/>
  <c r="B167" i="14"/>
  <c r="B166" i="14"/>
  <c r="B165" i="14"/>
  <c r="B163" i="14"/>
  <c r="B162" i="14"/>
  <c r="B161" i="14"/>
  <c r="E159" i="14"/>
  <c r="D159" i="14"/>
  <c r="C159" i="14"/>
  <c r="B159" i="14"/>
  <c r="E157" i="14"/>
  <c r="D157" i="14"/>
  <c r="C157" i="14"/>
  <c r="B157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2" i="14"/>
  <c r="B141" i="14"/>
  <c r="B140" i="14"/>
  <c r="B139" i="14"/>
  <c r="B138" i="14"/>
  <c r="B137" i="14"/>
  <c r="B136" i="14"/>
  <c r="B134" i="14"/>
  <c r="B132" i="14"/>
  <c r="B131" i="14"/>
  <c r="B129" i="14"/>
  <c r="C128" i="14"/>
  <c r="B128" i="14"/>
  <c r="C127" i="14"/>
  <c r="B127" i="14"/>
  <c r="B126" i="14"/>
  <c r="C125" i="14"/>
  <c r="B125" i="14"/>
  <c r="B123" i="14"/>
  <c r="B122" i="14"/>
  <c r="B121" i="14"/>
  <c r="B120" i="14"/>
  <c r="B119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99" i="14"/>
  <c r="B98" i="14"/>
  <c r="B96" i="14"/>
  <c r="B94" i="14"/>
  <c r="B93" i="14"/>
  <c r="B92" i="14"/>
  <c r="B91" i="14"/>
  <c r="B90" i="14"/>
  <c r="B89" i="14"/>
  <c r="B88" i="14"/>
  <c r="B87" i="14"/>
  <c r="B85" i="14"/>
  <c r="B83" i="14"/>
  <c r="B81" i="14"/>
  <c r="B80" i="14"/>
  <c r="B79" i="14"/>
  <c r="B78" i="14"/>
  <c r="B77" i="14"/>
  <c r="B76" i="14"/>
  <c r="B75" i="14"/>
  <c r="B74" i="14"/>
  <c r="B72" i="14"/>
  <c r="B71" i="14"/>
  <c r="B69" i="14"/>
  <c r="B68" i="14"/>
  <c r="B67" i="14"/>
  <c r="B66" i="14"/>
  <c r="B65" i="14"/>
  <c r="B64" i="14"/>
  <c r="B63" i="14"/>
  <c r="B62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E6" i="14"/>
  <c r="B6" i="14"/>
  <c r="B5" i="14"/>
  <c r="E4" i="14"/>
  <c r="B4" i="14"/>
  <c r="E6" i="1"/>
  <c r="B250" i="1"/>
  <c r="B220" i="1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0" i="13"/>
  <c r="B228" i="13"/>
  <c r="B227" i="13"/>
  <c r="B226" i="13"/>
  <c r="B225" i="13"/>
  <c r="B224" i="13"/>
  <c r="B222" i="13"/>
  <c r="B221" i="13"/>
  <c r="B220" i="13"/>
  <c r="B219" i="13"/>
  <c r="B218" i="13"/>
  <c r="B217" i="13"/>
  <c r="B216" i="13"/>
  <c r="B214" i="13"/>
  <c r="B213" i="13"/>
  <c r="B212" i="13"/>
  <c r="B211" i="13"/>
  <c r="B210" i="13"/>
  <c r="B209" i="13"/>
  <c r="B208" i="13"/>
  <c r="B206" i="13"/>
  <c r="B205" i="13"/>
  <c r="B204" i="13"/>
  <c r="B203" i="13"/>
  <c r="B201" i="13"/>
  <c r="B200" i="13"/>
  <c r="B199" i="13"/>
  <c r="B197" i="13"/>
  <c r="B196" i="13"/>
  <c r="B195" i="13"/>
  <c r="B194" i="13"/>
  <c r="B193" i="13"/>
  <c r="B192" i="13"/>
  <c r="B190" i="13"/>
  <c r="B189" i="13"/>
  <c r="B187" i="13"/>
  <c r="B185" i="13"/>
  <c r="B184" i="13"/>
  <c r="B183" i="13"/>
  <c r="B182" i="13"/>
  <c r="B181" i="13"/>
  <c r="B180" i="13"/>
  <c r="B179" i="13"/>
  <c r="B177" i="13"/>
  <c r="B176" i="13"/>
  <c r="B175" i="13"/>
  <c r="B174" i="13"/>
  <c r="B173" i="13"/>
  <c r="B171" i="13"/>
  <c r="B170" i="13"/>
  <c r="B169" i="13"/>
  <c r="B168" i="13"/>
  <c r="B167" i="13"/>
  <c r="B166" i="13"/>
  <c r="B165" i="13"/>
  <c r="B163" i="13"/>
  <c r="B162" i="13"/>
  <c r="B161" i="13"/>
  <c r="E159" i="13"/>
  <c r="D159" i="13"/>
  <c r="C159" i="13"/>
  <c r="B159" i="13"/>
  <c r="E157" i="13"/>
  <c r="D157" i="13"/>
  <c r="C157" i="13"/>
  <c r="B157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2" i="13"/>
  <c r="B141" i="13"/>
  <c r="B140" i="13"/>
  <c r="B139" i="13"/>
  <c r="B138" i="13"/>
  <c r="B137" i="13"/>
  <c r="B136" i="13"/>
  <c r="B134" i="13"/>
  <c r="B132" i="13"/>
  <c r="B131" i="13"/>
  <c r="B129" i="13"/>
  <c r="C128" i="13"/>
  <c r="B128" i="13"/>
  <c r="C127" i="13"/>
  <c r="B127" i="13"/>
  <c r="B126" i="13"/>
  <c r="C125" i="13"/>
  <c r="B125" i="13"/>
  <c r="B123" i="13"/>
  <c r="B122" i="13"/>
  <c r="B121" i="13"/>
  <c r="B120" i="13"/>
  <c r="B119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99" i="13"/>
  <c r="B98" i="13"/>
  <c r="B96" i="13"/>
  <c r="B94" i="13"/>
  <c r="B93" i="13"/>
  <c r="B92" i="13"/>
  <c r="B91" i="13"/>
  <c r="B90" i="13"/>
  <c r="B89" i="13"/>
  <c r="B88" i="13"/>
  <c r="B87" i="13"/>
  <c r="B85" i="13"/>
  <c r="B83" i="13"/>
  <c r="B81" i="13"/>
  <c r="B80" i="13"/>
  <c r="B79" i="13"/>
  <c r="B78" i="13"/>
  <c r="B77" i="13"/>
  <c r="B76" i="13"/>
  <c r="B75" i="13"/>
  <c r="B74" i="13"/>
  <c r="B72" i="13"/>
  <c r="B71" i="13"/>
  <c r="B69" i="13"/>
  <c r="B68" i="13"/>
  <c r="B67" i="13"/>
  <c r="B66" i="13"/>
  <c r="B65" i="13"/>
  <c r="B64" i="13"/>
  <c r="B63" i="13"/>
  <c r="B62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E6" i="13"/>
  <c r="B6" i="13"/>
  <c r="B5" i="13"/>
  <c r="E4" i="13"/>
  <c r="B4" i="13"/>
  <c r="B165" i="1"/>
  <c r="B168" i="1"/>
  <c r="B169" i="1"/>
  <c r="B167" i="1"/>
  <c r="B171" i="1"/>
  <c r="B251" i="1"/>
  <c r="B166" i="1"/>
  <c r="B206" i="1"/>
  <c r="B203" i="1"/>
  <c r="B205" i="1"/>
  <c r="B204" i="1"/>
  <c r="B36" i="1"/>
  <c r="B37" i="1"/>
  <c r="B177" i="1"/>
  <c r="C1" i="11"/>
  <c r="C2" i="11"/>
  <c r="B190" i="1"/>
  <c r="B197" i="1"/>
  <c r="B196" i="1"/>
  <c r="B195" i="1"/>
  <c r="B192" i="1"/>
  <c r="B194" i="1"/>
  <c r="B193" i="1"/>
  <c r="B189" i="1"/>
  <c r="B51" i="1"/>
  <c r="B26" i="1"/>
  <c r="B122" i="1"/>
  <c r="B123" i="1"/>
  <c r="B185" i="1"/>
  <c r="B184" i="1"/>
  <c r="B183" i="1"/>
  <c r="B182" i="1"/>
  <c r="B181" i="1"/>
  <c r="B180" i="1"/>
  <c r="B201" i="1"/>
  <c r="B200" i="1"/>
  <c r="B199" i="1"/>
  <c r="B214" i="1"/>
  <c r="B213" i="1"/>
  <c r="B212" i="1"/>
  <c r="B211" i="1"/>
  <c r="B210" i="1"/>
  <c r="B209" i="1"/>
  <c r="B208" i="1"/>
  <c r="B108" i="1"/>
  <c r="B109" i="1"/>
  <c r="B106" i="1"/>
  <c r="B107" i="1"/>
  <c r="B253" i="1"/>
  <c r="B252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0" i="1"/>
  <c r="B102" i="1"/>
  <c r="B101" i="1"/>
  <c r="B99" i="1"/>
  <c r="B98" i="1"/>
  <c r="B179" i="1"/>
  <c r="B228" i="1"/>
  <c r="B226" i="1"/>
  <c r="B227" i="1"/>
  <c r="B224" i="1"/>
  <c r="B225" i="1"/>
  <c r="B222" i="1"/>
  <c r="B221" i="1"/>
  <c r="B219" i="1"/>
  <c r="B216" i="1"/>
  <c r="B217" i="1"/>
  <c r="B218" i="1"/>
  <c r="B128" i="1"/>
  <c r="B127" i="1"/>
  <c r="B125" i="1"/>
  <c r="C125" i="1"/>
  <c r="B187" i="1"/>
  <c r="B170" i="1"/>
  <c r="B176" i="1"/>
  <c r="B175" i="1"/>
  <c r="B174" i="1"/>
  <c r="B163" i="1"/>
  <c r="B162" i="1"/>
  <c r="B161" i="1"/>
  <c r="B147" i="1"/>
  <c r="B155" i="1"/>
  <c r="B154" i="1"/>
  <c r="B153" i="1"/>
  <c r="B152" i="1"/>
  <c r="B151" i="1"/>
  <c r="B150" i="1"/>
  <c r="B139" i="1"/>
  <c r="B142" i="1"/>
  <c r="B144" i="1"/>
  <c r="B149" i="1"/>
  <c r="B148" i="1"/>
  <c r="B146" i="1"/>
  <c r="B145" i="1"/>
  <c r="B173" i="1"/>
  <c r="B85" i="1"/>
  <c r="B140" i="1"/>
  <c r="B138" i="1"/>
  <c r="B96" i="1"/>
  <c r="B141" i="1"/>
  <c r="B136" i="1"/>
  <c r="B137" i="1"/>
  <c r="B104" i="1"/>
  <c r="B103" i="1"/>
  <c r="B115" i="1"/>
  <c r="B76" i="1"/>
  <c r="B94" i="1"/>
  <c r="B134" i="1"/>
  <c r="B131" i="1"/>
  <c r="B132" i="1"/>
  <c r="B129" i="1"/>
  <c r="C128" i="1"/>
  <c r="C127" i="1"/>
  <c r="B126" i="1"/>
  <c r="B78" i="1"/>
  <c r="B79" i="1"/>
  <c r="B80" i="1"/>
  <c r="B77" i="1"/>
  <c r="B75" i="1"/>
  <c r="B59" i="1"/>
  <c r="B57" i="1"/>
  <c r="B56" i="1"/>
  <c r="B105" i="1"/>
  <c r="B117" i="1"/>
  <c r="B93" i="1"/>
  <c r="B92" i="1"/>
  <c r="B91" i="1"/>
  <c r="B90" i="1"/>
  <c r="B89" i="1"/>
  <c r="B88" i="1"/>
  <c r="B87" i="1"/>
  <c r="B83" i="1"/>
  <c r="E4" i="1"/>
  <c r="A80" i="8"/>
  <c r="B119" i="1"/>
  <c r="B19" i="1"/>
  <c r="B21" i="1"/>
  <c r="B22" i="1"/>
  <c r="B23" i="1"/>
  <c r="B24" i="1"/>
  <c r="B25" i="1"/>
  <c r="B18" i="1"/>
  <c r="B39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28" i="1"/>
  <c r="B29" i="1"/>
  <c r="B32" i="1"/>
  <c r="B33" i="1"/>
  <c r="B35" i="1"/>
  <c r="B40" i="1"/>
  <c r="B41" i="1"/>
  <c r="B45" i="1"/>
  <c r="B46" i="1"/>
  <c r="B47" i="1"/>
  <c r="B50" i="1"/>
  <c r="B53" i="1"/>
  <c r="B64" i="1"/>
  <c r="B63" i="1"/>
  <c r="B62" i="1"/>
  <c r="B49" i="1"/>
  <c r="B116" i="1"/>
  <c r="B114" i="1"/>
  <c r="B113" i="1"/>
  <c r="B112" i="1"/>
  <c r="B111" i="1"/>
  <c r="B110" i="1"/>
  <c r="E157" i="1"/>
  <c r="D157" i="1"/>
  <c r="C157" i="1"/>
  <c r="B157" i="1"/>
  <c r="E159" i="1"/>
  <c r="C159" i="1"/>
  <c r="D159" i="1"/>
  <c r="B159" i="1"/>
  <c r="B81" i="1"/>
  <c r="B121" i="1"/>
  <c r="B120" i="1"/>
  <c r="B55" i="1"/>
  <c r="B54" i="1"/>
  <c r="B67" i="1"/>
  <c r="B66" i="1"/>
  <c r="B65" i="1"/>
  <c r="B72" i="1"/>
  <c r="B71" i="1"/>
  <c r="B34" i="1"/>
  <c r="B38" i="1"/>
  <c r="B31" i="1"/>
  <c r="B69" i="1"/>
  <c r="B68" i="1"/>
  <c r="B58" i="1"/>
  <c r="B52" i="1"/>
  <c r="B44" i="1"/>
  <c r="B43" i="1"/>
  <c r="B5" i="6"/>
  <c r="B4" i="6"/>
  <c r="B2" i="6"/>
  <c r="B60" i="1"/>
  <c r="B48" i="1"/>
  <c r="B30" i="1"/>
  <c r="B20" i="1"/>
  <c r="C7" i="5"/>
  <c r="F16" i="4"/>
  <c r="F15" i="4"/>
  <c r="F31" i="4"/>
  <c r="F27" i="4"/>
  <c r="C25" i="5"/>
  <c r="C24" i="5"/>
  <c r="C23" i="5"/>
  <c r="C22" i="5"/>
  <c r="C21" i="5"/>
  <c r="C20" i="5"/>
  <c r="C19" i="5"/>
  <c r="C17" i="5"/>
  <c r="C16" i="5"/>
  <c r="C12" i="5"/>
  <c r="C9" i="5"/>
  <c r="C8" i="5"/>
  <c r="C26" i="5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C14" i="6"/>
  <c r="B11" i="6"/>
  <c r="C7" i="6"/>
  <c r="C6" i="6"/>
  <c r="C9" i="6"/>
  <c r="B9" i="6"/>
  <c r="C8" i="6"/>
  <c r="B8" i="6"/>
  <c r="B7" i="6"/>
  <c r="B6" i="6"/>
  <c r="G34" i="4"/>
  <c r="F34" i="4"/>
  <c r="G33" i="4"/>
  <c r="F33" i="4"/>
  <c r="G32" i="4"/>
  <c r="F32" i="4"/>
  <c r="G31" i="4"/>
  <c r="G30" i="4"/>
  <c r="F30" i="4"/>
  <c r="G29" i="4"/>
  <c r="F29" i="4"/>
  <c r="G28" i="4"/>
  <c r="F28" i="4"/>
  <c r="G27" i="4"/>
  <c r="G26" i="4"/>
  <c r="F26" i="4"/>
  <c r="G25" i="4"/>
  <c r="F25" i="4"/>
  <c r="G20" i="4"/>
  <c r="F20" i="4"/>
  <c r="G19" i="4"/>
  <c r="F19" i="4"/>
  <c r="G18" i="4"/>
  <c r="F18" i="4"/>
  <c r="G17" i="4"/>
  <c r="F17" i="4"/>
  <c r="G16" i="4"/>
  <c r="G15" i="4"/>
  <c r="G14" i="4"/>
  <c r="F14" i="4"/>
  <c r="G13" i="4"/>
  <c r="F13" i="4"/>
  <c r="G12" i="4"/>
  <c r="F12" i="4"/>
  <c r="C11" i="5"/>
  <c r="C13" i="5"/>
  <c r="C14" i="5"/>
  <c r="C15" i="5"/>
  <c r="C10" i="5"/>
  <c r="C18" i="5"/>
</calcChain>
</file>

<file path=xl/sharedStrings.xml><?xml version="1.0" encoding="utf-8"?>
<sst xmlns="http://schemas.openxmlformats.org/spreadsheetml/2006/main" count="1584" uniqueCount="570">
  <si>
    <t>IDADE EM ANOS -&gt; -&gt; -&gt;</t>
  </si>
  <si>
    <t>PESO EM KG  -&gt;  -&gt;  -&gt;</t>
  </si>
  <si>
    <t>ANTIBIÓTICO VO</t>
  </si>
  <si>
    <t>QUIMIOPROFILAXIA (INFLUENZA)</t>
  </si>
  <si>
    <t>ORIENTAÇÕES DE PREPARO DO OSELTAMIVIR</t>
  </si>
  <si>
    <t>Amoxicilina 250mg/5ml (Xarope)</t>
  </si>
  <si>
    <t>Osetalmivir (Tamiflu®) 75mg/Capsula</t>
  </si>
  <si>
    <t>1) ABRA CUIDADOSAMENTE A CÁPSULA DE OSELTAMIVIR SOBRE UM COPO LIMPO E DESPEJE O CONTEÚDO DENTRO DO COPO.</t>
  </si>
  <si>
    <t>Amoxicilina Tri-hidratada 400mg/5ml (Xarope)</t>
  </si>
  <si>
    <t>ANTIVIRAL - INFLUENZA POSITIVO</t>
  </si>
  <si>
    <t>2) COM A AJUDA DE UMA SERINGA MEÇA 7,5ML DE ÁGUA FRIA FILTRADA E MISTURE COM O PÓ DA CÁPSULA QUE ESTÁ DENTRO DO COPO.</t>
  </si>
  <si>
    <t>Amoxicilina/Clavulanato 250mg + 62,5mg/5ml (Xarope)</t>
  </si>
  <si>
    <t>3) MEXA COM UMA COLHER LIMPA POR ALGUNS SEGUNDOS.</t>
  </si>
  <si>
    <t>Amoxicilina/Clavulanato 400mg + 57mg/5ml (Xarope)</t>
  </si>
  <si>
    <t>4) COM A MESMA SERINGA, ASPIRE A QUANTIDADE EM ML PRESCRITA ACIMA (ITEM 2) E DÊ A MISTURA À CRIANÇA.</t>
  </si>
  <si>
    <t>Amoxicilina/Clavulanato 600mg + 42,9mg/5ml (Xarope)</t>
  </si>
  <si>
    <t>5) JOGUE FORA O QUE RESTOU E REPITA O PROCESSO QUANDO FOR OFERECER NOVAMENTE A MEDICAÇÃO À CRIANÇA.</t>
  </si>
  <si>
    <t>Amoxicilina/Sulbactam 200 mg + 50 mg / 5 mL (xarope)</t>
  </si>
  <si>
    <t>Amoxicilina/Sulbactam  875/125mg ( comprimido)</t>
  </si>
  <si>
    <t>PARA FERIMENTOS LINEARES DE PELE</t>
  </si>
  <si>
    <t>ORIENTAÇÕES DE APLICAÇÃO DO CURATIVO</t>
  </si>
  <si>
    <t>Axetilcefuroxima (Zinnat) 250mg/5ml (Xarope)</t>
  </si>
  <si>
    <t>Keloggel Strip - Para sutura cutânea</t>
  </si>
  <si>
    <t>1) LIMPAR E SECAR A PELE.</t>
  </si>
  <si>
    <t>Cefaclor 250mg/5ml (Xarope)</t>
  </si>
  <si>
    <t>2) ABRIR A EMBALAGEM E RETIRAR A CARTELA TOTALMENTE.</t>
  </si>
  <si>
    <t>Cefaclor 375mg/5ml (Xarope)</t>
  </si>
  <si>
    <t>3) SEGURAR A EXTREMIDADE DA TIRA E LEVANTÁ-LA DA CARTELA.</t>
  </si>
  <si>
    <t>Cefalexina 250mg/5ml (Xarope)</t>
  </si>
  <si>
    <t>4) AO USAR A TIRA PARA SUTURAR A PELE, SEM PONTOS OU GRAMPOS, JUNTAR AS BORDAS DA PELE COM OS DEDOS OU PINÇAS. COLOCAR AS TIRAS DE UM LADO AO OUTRO DO FERIMENTO, DE FORMA A ASSEGURAR UMA APLICAÇÃO SEM TENSÃO.</t>
  </si>
  <si>
    <t>Azitromicina Di-hidratada 200mg/5ml (Xarope)</t>
  </si>
  <si>
    <t>5) POSICIONAR DE FORMA A DISTRIBUIR A TENSÃO. COLOCAR AS TIRAS COM APROXIMADAMENTE 3MM A 5MM DE ESPAÇO ENTRE ELAS.</t>
  </si>
  <si>
    <t>Claritromicina 125mg/5ml (Xarope) &gt; 3 meses</t>
  </si>
  <si>
    <t>6) PODEM-SE COLOCAR TIRAS ADICIONAIS PARALELAS À FERIDA E APROXIMADAMENTE A 10MM DAS EXTREMIDADES DAS FITAS. ISTO PODE REDUZIR A FORÇA DE CISALHAMENTO A QUE A FERIDA ESTÁ SUBMETIDA.</t>
  </si>
  <si>
    <t>Claritromicina 250mg/5ml (Xarope) &gt; 3 meses</t>
  </si>
  <si>
    <t>Claritromicina 250mg/5ml (Xarope)</t>
  </si>
  <si>
    <t>Nitrofurantoína 5 mg/mL (Xarope)</t>
  </si>
  <si>
    <t>Nitrofurantoína 100mg (comprimido)</t>
  </si>
  <si>
    <t>Metronidazol 200mg/5ml (Xarope)</t>
  </si>
  <si>
    <t>Sulfametoxazol/Trimetoprima 200mg + 40mg/5ml (Xarope)</t>
  </si>
  <si>
    <t>Sulfametoxazol/Trimetoprima 400mg + 80mg/5ml (Xarope)</t>
  </si>
  <si>
    <t>Cefadroxila 250mg/5ml (xarope)</t>
  </si>
  <si>
    <t>Cefadroxila 500mg/5ml (xarope)</t>
  </si>
  <si>
    <t>Nalidíxico (Wintomylon®) 50 mg/mL - VO</t>
  </si>
  <si>
    <t>ANALGÉSICOS E ANTITÉRMICOS</t>
  </si>
  <si>
    <t>Dipirona 500mg/ml (Gotas)</t>
  </si>
  <si>
    <t>Dipirona 50mg/ml (Xarope) &gt; 3 Meses</t>
  </si>
  <si>
    <t>Dipirona 500mg/ml (EV/IM) &gt; 3 Meses</t>
  </si>
  <si>
    <t>Tramadol 50mg/mL (IM/EV)</t>
  </si>
  <si>
    <t>Tramadol 50mg/mL (Gotas)</t>
  </si>
  <si>
    <t>Escopolamina + Dipirona 10mg/mL + 500mg/mL (Gotas)</t>
  </si>
  <si>
    <t>Escopolamina + Dipirona 10mg/mL + 500mg/mL (EV)</t>
  </si>
  <si>
    <t>Paracetamol 200mg/mL (Gotas)</t>
  </si>
  <si>
    <t>Ibuprofeno 50mg/mL (Gotas)</t>
  </si>
  <si>
    <t>Ibuprofeno 100mg/mL (Gotas)</t>
  </si>
  <si>
    <t>Cetoprofeno 100mg/2mL (IM/EV)</t>
  </si>
  <si>
    <t>Cetoprofeno 20mg/mL (Gotas)</t>
  </si>
  <si>
    <t>Diclofenaco 15mg/mL (Gotas)</t>
  </si>
  <si>
    <t>Nimesulida 50mg/mL (Gotas)</t>
  </si>
  <si>
    <t>ANTIEMÉTICOS</t>
  </si>
  <si>
    <t>Ondansetrona (4mg/Filme)</t>
  </si>
  <si>
    <t>Ondansetrona 4mg/5ml (VO - Xarope)</t>
  </si>
  <si>
    <t>Bromoprida 4mg/ml (Gotas)</t>
  </si>
  <si>
    <t>Metoclopramida 4mg/ml (Gotas) &gt; 2 anos</t>
  </si>
  <si>
    <t>Dramin-B6 25mg/ml (Gotas) &gt; 2 Anos</t>
  </si>
  <si>
    <t>Domperidona 1mg/ml (Xarope)</t>
  </si>
  <si>
    <t>Omeprazol 40 mg (EV) - Reconstituir em 10 ml de AD</t>
  </si>
  <si>
    <t>Omeprazol 4mg/ml (Xarope) VO/SNG</t>
  </si>
  <si>
    <t>Simeticona 75 mg/mL</t>
  </si>
  <si>
    <t>Ranitidina 15mg/ml (Xarope)</t>
  </si>
  <si>
    <t>Ranitidina 15mg/ml (Gotas)</t>
  </si>
  <si>
    <t>Carvão Ativado (Pó ou Suspensão) - Oral/SNG</t>
  </si>
  <si>
    <t>Ondansetrona 2mg/ml (EV/IM)</t>
  </si>
  <si>
    <t>Bromoprida 5mg/ml (EV)</t>
  </si>
  <si>
    <t>Metoclopramida 10mg/2mL (Plasil®) - EV</t>
  </si>
  <si>
    <t>Dramin-B6 DL 30mg/10ml (EV)</t>
  </si>
  <si>
    <t>Dramin-B6 50mg/ml (IM)</t>
  </si>
  <si>
    <t>Ranitidina 50mg/2mL (EV)</t>
  </si>
  <si>
    <t>ANTIALÉRGICOS</t>
  </si>
  <si>
    <t>Hidroxizina 2mg/ml (Xarope)</t>
  </si>
  <si>
    <t>Desloratadina 0,5mg/ml (Xarope) &gt; 6 Meses</t>
  </si>
  <si>
    <t>Fexofenadina 6mg/ml (Xarope) &gt; 6 Meses</t>
  </si>
  <si>
    <t>Dexclorfeniramina 2mg/5ml (Xarope)</t>
  </si>
  <si>
    <t>Loratadina 5mg/5ml (Xarope) &gt; 2 anos</t>
  </si>
  <si>
    <t>Dexclorfeniramina + Betametasona 0,4 mg/ml + 0,05mg/ml (Xarope)</t>
  </si>
  <si>
    <t>Prometazina 25mg/ml (IM) &gt; 2 Anos</t>
  </si>
  <si>
    <t>Difenidramina 50mg/ml (EV/IM) &gt; 2 Anos</t>
  </si>
  <si>
    <t>CORTICOIDE ORAL</t>
  </si>
  <si>
    <t>Prednisolona 3mg/ml (Xarope)</t>
  </si>
  <si>
    <t>Dexametasona 0,5mg/5ml (Xarope)</t>
  </si>
  <si>
    <t>CORTICOIDES EV</t>
  </si>
  <si>
    <t>Hidrocortisona 100mg/Pó (EV/IM) - Reconstituir em 2 ml de AD</t>
  </si>
  <si>
    <t>Hidrocortisona 500mg/Pó (EV/IM) - Reconstituir em 5 ml de AD</t>
  </si>
  <si>
    <t>Metilprednisolona 125mg/Pó (EV/IM) - Reconstituir em 2ml de AD</t>
  </si>
  <si>
    <t>Metilprednisolona 40 mg/mL (EV)</t>
  </si>
  <si>
    <t>Sulfato de Magnésio 50% Asma/Bronquite 1mL/500mg (EV)</t>
  </si>
  <si>
    <t>Sulfato de Magnésio 10% Asma/Bronquite 1mL/100 mg (EV)</t>
  </si>
  <si>
    <t>Dexametasona 4mg/ml (EV/IM)</t>
  </si>
  <si>
    <t>Dexametasona 2mg/ml (EV/IM)</t>
  </si>
  <si>
    <t>ANAFILAXIA</t>
  </si>
  <si>
    <t>Adrenalina 1mg/ml (IM)</t>
  </si>
  <si>
    <t>DIURÉTICOS</t>
  </si>
  <si>
    <t>Furosemida - 20 mg/2mL</t>
  </si>
  <si>
    <t>PCR</t>
  </si>
  <si>
    <t>Adrenalina 1mg/ml (EV em Bolus)</t>
  </si>
  <si>
    <t>Amiodarona 50mg/ml (EV em Bolus)</t>
  </si>
  <si>
    <t>Cálcio injetável 10% (100mg/ml)</t>
  </si>
  <si>
    <t>Lidocaína 20mg/ml (Sem vasoconstritor)</t>
  </si>
  <si>
    <t>Bicarbonato de sódio injetável 8,4% (84mg/ml = 1 mEq/ml)</t>
  </si>
  <si>
    <t>Glicose 10% - 0,1g/ml (Ampola com 10 mL)</t>
  </si>
  <si>
    <t>Glicose 25% - 0,25g/ml (Ampola com 10 mL)</t>
  </si>
  <si>
    <t>Glicose 50% - 0,5g/ml (Ampola com 10 mL)</t>
  </si>
  <si>
    <t>TAQUICARDIA SUPRAVENTRICULAR</t>
  </si>
  <si>
    <t>Adenosina injetável 3mg/mL (EV em Bolus)</t>
  </si>
  <si>
    <t>ANTIVIRAIS</t>
  </si>
  <si>
    <t>Aciclovir 250 mg/Pó (EV) - Reconstituir com 10mL de AD.</t>
  </si>
  <si>
    <t>ANTIBIÓTICOS EV</t>
  </si>
  <si>
    <t>Ceftriaxona 1000mg/Pó (EV) - Reconstituir em 5 ml de AD</t>
  </si>
  <si>
    <t xml:space="preserve">Amicacina 100mg/2ml (EV) </t>
  </si>
  <si>
    <t xml:space="preserve">Amicacina 250mg/2ml (EV) </t>
  </si>
  <si>
    <t>Amoxicilina + Clavulanato 1000 mg + 200 mg  (EV) - Reconstituir em 20ml de AD</t>
  </si>
  <si>
    <t>Amoxicilina + Clavulanato 500 mg + 100 mg  (EV) - Reconstituir em 20ml de AD</t>
  </si>
  <si>
    <t>Ampicilina 1000mg/Pó (EV) - Reconstituir em 3ml de AD</t>
  </si>
  <si>
    <t>Cefalotina 1000mg/Pó (EV) - Reconstituir em 10ml de AD</t>
  </si>
  <si>
    <t>Oxacilina 500mg/Pó (EV) - Reconstituir em 5ml de SF ou AD</t>
  </si>
  <si>
    <t>Gentamicina 40mg/ml (EV) - Ampola 1,5 ou 2ml</t>
  </si>
  <si>
    <t>Clindamicina 150mg/ml (EV)</t>
  </si>
  <si>
    <t>Vancomicina 500mg/Frasco (EV) Reconstituir em 5ml de AD &gt; 1 Meses</t>
  </si>
  <si>
    <t>Meropeném Tri-hidratado 500mg/Frasco (EV) - Reconstituir em 5ml de AD</t>
  </si>
  <si>
    <t>Ampicilina Sódica + Sulbactam Sódico 1,5g/Ampola (EV)</t>
  </si>
  <si>
    <t>Piperacilina + Tazobactam 4 g + 500 mg (EV) - Reconstituir em 5ml de AD</t>
  </si>
  <si>
    <t>Metronidazol 5mg/ml - Bolsa de 100ml (EV)</t>
  </si>
  <si>
    <t>Claritromicina 500mg/Frasco (EV)  - Reconstituir em 10ml de AD</t>
  </si>
  <si>
    <t>ANTIBIÓTICOS IM</t>
  </si>
  <si>
    <t>Ceftriaxona Sódica 1000mg/Pó (IM) - Reconstituir em 2,5 ml de AD</t>
  </si>
  <si>
    <t>Penicilina Benzatina 600.000 UI (IM) - Reconstituir em 3,2 ml de AD</t>
  </si>
  <si>
    <t>Penicilina Benzatina 1.200.000 UI (IM) - Reconstituir em 3,2 ml de AD</t>
  </si>
  <si>
    <t>Penicilina cristalina (benzilpenicilina potássica) 5.000.000 UI - Recostituir em 10 mL de AD</t>
  </si>
  <si>
    <t>Sulfato de polimixina B - 500.000 UI/Pó - Recostituir em 10 mL de AD</t>
  </si>
  <si>
    <t>SEDATIVOS</t>
  </si>
  <si>
    <t>Ketamina 50 mg/ml (EV)</t>
  </si>
  <si>
    <t>Midazolan 15 mg/3ml (IM ou EV)</t>
  </si>
  <si>
    <t>Propofol 10 mg/ml (EV)</t>
  </si>
  <si>
    <t>Etomidate 2 mg/ml (EV)</t>
  </si>
  <si>
    <t>Fentanil 50 mcg/ml (EV)</t>
  </si>
  <si>
    <t>BLOQUEADOR NEUROMUSCULAR</t>
  </si>
  <si>
    <t>Brometo de Rocurônio 10mg/ml (EV)</t>
  </si>
  <si>
    <t>Succinil Colin 10mg/Po (EV) - Reconstituir em 10 ml de AD</t>
  </si>
  <si>
    <t>MEDICAÇÃO PARA BRADICARDIA</t>
  </si>
  <si>
    <t>Atropina 0,25mg/ml (EV)</t>
  </si>
  <si>
    <t>ANTICONVULSIVANTES</t>
  </si>
  <si>
    <t>Midazolam 5mg/ml (EV ou IM)</t>
  </si>
  <si>
    <t>Diazepam 5mg/ml (EV)</t>
  </si>
  <si>
    <t>Fenitoína 50mg/ml - Ampola 5ml (EV)</t>
  </si>
  <si>
    <t>Fenobarbital 100mg/ml - Ampola 2ml (EV)</t>
  </si>
  <si>
    <t>Fenobarbital 40mg/ml (Gotas) - VO</t>
  </si>
  <si>
    <t>Clonazepam 2,5mg/ml (Gotas) - VO</t>
  </si>
  <si>
    <t>Clorpromazina 25mg/5ml (Amplicitil®) Solução Injetável - IV/IM</t>
  </si>
  <si>
    <t>DROGAS DE INFUSÃO CONTÍNUA</t>
  </si>
  <si>
    <t>Adrenalina 1mg/ml (EV em BIC) - Dose Inotropica</t>
  </si>
  <si>
    <t>Adrenalina 1mg/ml (EV em BIC) - Vasoconstritor</t>
  </si>
  <si>
    <t>Noradrenalina 1mg/ml (EV em BIC)</t>
  </si>
  <si>
    <t>Dobutamina 12,5mg/ml (EV em BIC)</t>
  </si>
  <si>
    <t>Milrinona 1mg/ml (EV em BIC)</t>
  </si>
  <si>
    <t>Nitroprussiato de Sódio 25mg/ml (EV em BIC)</t>
  </si>
  <si>
    <t>Fentanil 50mcg/ml (EV em BIC)</t>
  </si>
  <si>
    <t>Morfina 10mg/ml (EV em BIC)</t>
  </si>
  <si>
    <t>Midazolam 5mg/ml (EV em BIC)</t>
  </si>
  <si>
    <t>Ketamine 50mg/ml (EV em BIC)</t>
  </si>
  <si>
    <t xml:space="preserve">SALBUTAMOL (AEROLIN: EV em BIC) - 500MCG/1ML </t>
  </si>
  <si>
    <t>Dexmedetomidina 100mcg/ml (EV em BIC)</t>
  </si>
  <si>
    <t>FLUIDOTERAPIA PARA RN SINTOMÁTICOS</t>
  </si>
  <si>
    <t>100% DO RESULTADO PARA RN SINTOMÁTICOS</t>
  </si>
  <si>
    <t>80% DO RESULTADO PARA RN SINTOMÁTICOS</t>
  </si>
  <si>
    <t>50% DO RESULTADO PARA RN SINTOMÁTICOS</t>
  </si>
  <si>
    <t>30% DO RESULTADO PARA RN SINTOMÁTICOS</t>
  </si>
  <si>
    <t>Soluções (SG 5% e GH 50%) + Eletrólitos (NaCl, KCl e GluCa).</t>
  </si>
  <si>
    <t>FLUIDOTERAPIA | HIDRATACAO</t>
  </si>
  <si>
    <t>100% DO RESULTADO - HOLLIDAY E SEGAR</t>
  </si>
  <si>
    <t>80% DO RESULTADO - HOLLIDAY E SEGAR</t>
  </si>
  <si>
    <t>50% DO RESULTADO - HOLLIDAY E SEGAR</t>
  </si>
  <si>
    <t>30% DO RESULTADO - HOLLIDAY E SEGAR</t>
  </si>
  <si>
    <t>Holliday e Segar - 24 horas</t>
  </si>
  <si>
    <t>ANTAGONISTAS</t>
  </si>
  <si>
    <t>Naloxona 0,4mg/ml - (Narcan: Antagonista opioide)</t>
  </si>
  <si>
    <t>Naloxona 1mg/ml - (Narcan: Antagonista opioide)</t>
  </si>
  <si>
    <t>Flumazenil 0,1 MG/ML - (LANEXAT - Antagonista benzodiazepínico)</t>
  </si>
  <si>
    <t>BRONCODILATADORES</t>
  </si>
  <si>
    <t>Salbutamol (Nebulização) 5 mg/mL</t>
  </si>
  <si>
    <t>Dipropionato de Beclometasona 50 mcg/puff (Clenil)</t>
  </si>
  <si>
    <t>Salbutamol 100mcg/Puff (Aerolin)</t>
  </si>
  <si>
    <t>Fenoterol (Berotec) - 5mg/1ml (NBZ)</t>
  </si>
  <si>
    <t>Ipratrópio Brometo Nebulização 0,25 mg/mL (ATROVENT) - NBZ</t>
  </si>
  <si>
    <t>Fluticasona (MDI 50 mcg/puff)</t>
  </si>
  <si>
    <t>Broncho-Vaxom 3,5 mg</t>
  </si>
  <si>
    <t>PROBIÓTICOS E REPOSITORES DE FLORA</t>
  </si>
  <si>
    <t>Floratil Pediátrico 200mg</t>
  </si>
  <si>
    <t>Solução de Reidratação Oral (SRO)</t>
  </si>
  <si>
    <t>Zinco 10 mg/5mL (Xarope)</t>
  </si>
  <si>
    <t>Enterogermina Plus - VO</t>
  </si>
  <si>
    <t>Racecadotrila Granulado (Tiorfan)</t>
  </si>
  <si>
    <t>LAXANTES</t>
  </si>
  <si>
    <t>Lactulona ou Pentalac (Xarope)</t>
  </si>
  <si>
    <t>Clister Evacuativo (Fosfato Monossódico 16 g + Fosfato Dissódico 6 g/100 mL) - Via Retal.</t>
  </si>
  <si>
    <t>Leite de Magnésia (Hidróxido de Magnésio) - VO &gt; 2 anos.</t>
  </si>
  <si>
    <t>Muvinlax® Macrogol 14 g/Sachê - VO</t>
  </si>
  <si>
    <t>Óleo mineral (Nujol®) - VO</t>
  </si>
  <si>
    <t>Solução de Enema de Glicerina 12% para clister - Frasco de 500 mL (Via Retal) &gt; 2 anos</t>
  </si>
  <si>
    <t>PEG-Lax Macrogol 4000 (0,5 g/mL)  Xarope &gt; 2 anos</t>
  </si>
  <si>
    <t>CONTROLE E PREVENÇÃO DE SANGRAMENTOS</t>
  </si>
  <si>
    <t>Ácido Tranexâmico 250mg/5mL (EV)</t>
  </si>
  <si>
    <t>MINERAIS E VITAMINAS</t>
  </si>
  <si>
    <t>Protovit Plus (Polivitamínico)</t>
  </si>
  <si>
    <t>Grow Ferro 100 mg/mL (Gotas)</t>
  </si>
  <si>
    <t>ANTIPARASITÁRIOS</t>
  </si>
  <si>
    <t>Nitazoxanida 20 mg/mL (ANNITA® ) - Suspensão Oral</t>
  </si>
  <si>
    <t>Albendazol VO 400 mg/10 mL (Suspensão Oral)</t>
  </si>
  <si>
    <t>Ivermectina 6 mg (Comprimido)</t>
  </si>
  <si>
    <t>Mebendazol  20 mg/mL (Suspensão Oral)</t>
  </si>
  <si>
    <t>Anti-helmíntico.</t>
  </si>
  <si>
    <t>Pamoato de Pirvínio (Pyr-pam®) 10 mg/mL  (Suspensão Oral)</t>
  </si>
  <si>
    <t>Indicado para Oxiúrus e Enterobíase. </t>
  </si>
  <si>
    <t>Secnidazol 30 mg/mL (Suspensão Oral)</t>
  </si>
  <si>
    <t>AEROSOL HIPERTÔNICO - LARINGITE/BVA</t>
  </si>
  <si>
    <t>Adrenalina 1 mg/mL (Epinefrina) - Nebulização</t>
  </si>
  <si>
    <t>Água Destilada - Nebulização</t>
  </si>
  <si>
    <t>NaCl 20% (Solução Hipertônica) - Nebulização</t>
  </si>
  <si>
    <t>XAROPES/TOSSE</t>
  </si>
  <si>
    <t>INDICAÇÃO PARA USO</t>
  </si>
  <si>
    <t>Acebrofilina 25 mg/5 mL</t>
  </si>
  <si>
    <t>Tosse Produtiva</t>
  </si>
  <si>
    <t>Hedera helix (Extrato Seco de Hera)</t>
  </si>
  <si>
    <t>Tosse Produtiva (Natural)</t>
  </si>
  <si>
    <t>Levodropropizina 30 mg/5 mL</t>
  </si>
  <si>
    <t>Tosse seca</t>
  </si>
  <si>
    <t>Carbocisteína 20 mg/mL</t>
  </si>
  <si>
    <t>OFTALMOLÓGICOS</t>
  </si>
  <si>
    <t>Lacrfilm® (Solução Oftálmica)</t>
  </si>
  <si>
    <t>Lubrificante</t>
  </si>
  <si>
    <t>Cloridrato de Olopatadina (Patanol S®)  1 mg/mL</t>
  </si>
  <si>
    <t>Conjuntivite Alérgica</t>
  </si>
  <si>
    <t>Systane® Ultra ou Hyabak® (Solução Oftálmica)</t>
  </si>
  <si>
    <t>Lubrificantes</t>
  </si>
  <si>
    <t>Tobramicina 3 mg/mL (Tobrex®) &gt; 2 meses</t>
  </si>
  <si>
    <t>Conjuntivite Bacteriana</t>
  </si>
  <si>
    <t>Tobramicina 3 mg/g  Pomada Oftálmica (Tobrex®) &gt; 2 meses</t>
  </si>
  <si>
    <t>Moxifloxacino Oftalmológico (VIGAMOX)</t>
  </si>
  <si>
    <t>Conjuntivite</t>
  </si>
  <si>
    <t>Ciprofloxacino colírio (0,3%)</t>
  </si>
  <si>
    <t>Infecção bacteriana</t>
  </si>
  <si>
    <t>OTOLOGICAS</t>
  </si>
  <si>
    <t>Biamotil (Ciprofloxacino 3 mg/mL + Dexametasona 1 mg/mL) Otológico - OMC</t>
  </si>
  <si>
    <t xml:space="preserve">Cerumin (Solução Otológica) </t>
  </si>
  <si>
    <t>Otociriax (Ciprofloxacino 3 mg/mL + Hidrocortisona 1 mg/mL) Otológico - Otite Externa</t>
  </si>
  <si>
    <t xml:space="preserve">Otosporin (Hidrocortisona + Sulfato de Neomicina + Sulfato de Polimixina B) </t>
  </si>
  <si>
    <t xml:space="preserve">Oto-xilodase (Cloridrato de Lidocaína + Sulfato de Neomicina + Hialuronidase) </t>
  </si>
  <si>
    <t>Otomixyn ou Otosylase ou Elotin (Fluocinolona Acetonida + Polimixina B + Neomicina + Lidocaína)</t>
  </si>
  <si>
    <t xml:space="preserve">MIiconazol 2% Loção (Manipulado) </t>
  </si>
  <si>
    <t>NASAIS</t>
  </si>
  <si>
    <t>Budesonida 32 mcg (Noex®) Aerossol - IL (≥ 2 anos).</t>
  </si>
  <si>
    <t>Budesonida 50 mcg (Noex®) Aerossol - IL (≥ 2 anos).</t>
  </si>
  <si>
    <t>Budesonida 64 mcg (Noex®) Aerossol - IL (≥ 2 anos).</t>
  </si>
  <si>
    <t>Cromoglicato 4% (Rilan®) Solução - IL</t>
  </si>
  <si>
    <t>Fluticasona 27,5 mcg (Avamys®) Spray Nasal - IL (&gt; 1 ano)</t>
  </si>
  <si>
    <t>USO TÓPICO - EXTERNO</t>
  </si>
  <si>
    <t>Nebacetim Pomada</t>
  </si>
  <si>
    <t>Impetigo</t>
  </si>
  <si>
    <t>Cetoconazol Shampoo</t>
  </si>
  <si>
    <t>Aplicar no couro cabeludo e lesões, 3 vezes por semana por 4 semanas. Remover com óleos vegetais (amêndoas) ou minerais (vaselina).</t>
  </si>
  <si>
    <t>Dermatite Seborréica</t>
  </si>
  <si>
    <t>Novacort</t>
  </si>
  <si>
    <t>Dermatite de contato, dermatite atópica,  dermatite seborreica, intertrigo, desidrose e neurodermatite.</t>
  </si>
  <si>
    <t>Quadriderm</t>
  </si>
  <si>
    <t>Infecção bacteriana ou fúngica</t>
  </si>
  <si>
    <t>Cutisanol ou Osmogel</t>
  </si>
  <si>
    <t xml:space="preserve">Hidratante e hemoliente, queimaduras solares </t>
  </si>
  <si>
    <t>Postec (Betametasona 0,05% + Hialuronidase 150 UI/g)</t>
  </si>
  <si>
    <t>Tratamento clínico tópico para fimose</t>
  </si>
  <si>
    <t>Tiabendazol 5% Pomada</t>
  </si>
  <si>
    <t>Larva Migrans Cutânea (Bicho Geográfico), Tinea (Dermatofitose), Dermatite Verrucosa</t>
  </si>
  <si>
    <t>Talco Mentolado</t>
  </si>
  <si>
    <t>Varicela (Catapora)</t>
  </si>
  <si>
    <t>Oncilom - A – M Pomada</t>
  </si>
  <si>
    <t>Assaduras</t>
  </si>
  <si>
    <t>Dermodex (Nistatina 100.000 UI + Óxido de Zinco 20%)</t>
  </si>
  <si>
    <t>Tratamento para assaduras/Candidíase perineal</t>
  </si>
  <si>
    <t>Deltametrina Shampoo</t>
  </si>
  <si>
    <t>Pediculose (Piolho)</t>
  </si>
  <si>
    <t>Trauma Nasal</t>
  </si>
  <si>
    <t>Deltametrina Loção</t>
  </si>
  <si>
    <t>Escabiose – Loção (Sarna)</t>
  </si>
  <si>
    <t>Permetrina 5%</t>
  </si>
  <si>
    <t>Escabiose – Loção (Sarna) e Pediculose (Piolho)</t>
  </si>
  <si>
    <t>Aciclovir 50 mg/g - (Pomada)</t>
  </si>
  <si>
    <t>Herpes Labial</t>
  </si>
  <si>
    <t>Ácido Fusídico 20 mg/g - (Pomada)</t>
  </si>
  <si>
    <t>Lesão infectada</t>
  </si>
  <si>
    <t>Mupirocina 20 mg/g - (Pomada)</t>
  </si>
  <si>
    <t>Dexametasona 0,1% - (Pomada)</t>
  </si>
  <si>
    <t>Prurido</t>
  </si>
  <si>
    <t>Mometasona 0,1% - (Pomada) &gt; 2 anos</t>
  </si>
  <si>
    <t>Flogo-rosa (Peróxido de Hidrogênio e Cloridrato de Benzidamina)</t>
  </si>
  <si>
    <t>Inflamação vulvar/Inflamação em região vaginal</t>
  </si>
  <si>
    <t>Hexomedine Spray 0,1% &gt; 3 Anos</t>
  </si>
  <si>
    <t>Dor de garganta/Inflamação/Aftas/Faringite/Estomatite Aftosa</t>
  </si>
  <si>
    <t>Flogoral Spray</t>
  </si>
  <si>
    <t>Permanganato de Potássio 100mg (Uso tópico)</t>
  </si>
  <si>
    <t>Assepsia na varicela</t>
  </si>
  <si>
    <t xml:space="preserve">Sulfadiazina de Prata 1% Creme (Dermazine®) </t>
  </si>
  <si>
    <t>Queimadura</t>
  </si>
  <si>
    <t xml:space="preserve"> </t>
  </si>
  <si>
    <t>IDADE EM (ANOS) &gt; &gt; &gt;</t>
  </si>
  <si>
    <t xml:space="preserve">bilastina 2,5mg/ml ( suspensão oral) </t>
  </si>
  <si>
    <t>PESO EM (KG) &gt; &gt; &gt;</t>
  </si>
  <si>
    <t>Rinosoro 0,9% (Solução Nasal)</t>
  </si>
  <si>
    <t>Rinosoro 3% (Solução Nasal)</t>
  </si>
  <si>
    <t>Sorine Spray Infantil (Solução Nasal)</t>
  </si>
  <si>
    <t>Soro Fisiológico 0,9% (Solução para Inalação)</t>
  </si>
  <si>
    <t>Antiparasitário</t>
  </si>
  <si>
    <t>Mebendazol 100mg/5ml (Suspensão Oral)</t>
  </si>
  <si>
    <t>Albendazol 400mg/10ml (Suspensão Oral)</t>
  </si>
  <si>
    <t>Nitazoxanida 20mg/ml (Suspensão Oral)</t>
  </si>
  <si>
    <t>Ivermectina 6mg (Comprimido)</t>
  </si>
  <si>
    <t>Tiabendazol (Pomada Tópica)</t>
  </si>
  <si>
    <t>Aja como um especialista em Excel configurado para padrões regionais brasileiros, especializado em cálculos clínicos. Sua tarefa é criar fórmulas no Excel utilizando funções em português, respeitando os padrões regionais (ponto e vírgula como separador de argumentos e vírgula como separador decimal).
Os cálculos devem usar o peso do paciente, localizado na célula B2 (em kg), e a idade em anos, localizada na célula B1. Utilize as funções ARRED.PARA.CIMA ou ARRED.PARA.BAIXO, conforme aplicável, para garantir precisão.
Instruções Gerais
Lógica Condicional (SE):
Utilize SE para determinar condições específicas baseadas em faixas de valores de idade (B1) e peso (B2).
Certifique-se de que todas as condições sejam contempladas e bem definidas.
Arredondamento e Precisão:
Use ARRED.PARA.CIMA para garantir que valores sejam arredondados para cima, quando necessário.
Use ARRED.PARA.BAIXO para arredondar valores para baixo, conforme aplicável.
Verificação de Limites Máximos:
Inclua verificações para ajustar os valores que excedam limites pré-definidos.
Concatenação de Texto:
Combine cálculos com instruções claras, utilizando &amp;.
Inclua informações completas como volumes, frequência e tempo de administração.
Compatibilidade Regional:
Use funções em português e respeite os padrões brasileiros de separadores.
Exemplo Principal
Cenário Clínico:
Medicamento: Metronidazol 5 mg/mL.
Dados do Paciente:
Idade: célula B1 (em anos).
Peso: célula B2 (em kg).
Doses:
Ataque: 15 mg/kg.
Manutenção:
Idade ≤ 4 anos: 7,5 mg/kg a cada 12 horas.
Idade &gt; 4 anos: 7,5 mg/kg a cada 8 horas.
Limite diário: 50 mg/kg ou 4.000 mg/dia (o menor prevalece).
Administração: Infundir em 60 minutos.
Fórmula no Excel:
excel
Copiar código
=SE(B1&lt;=4;"Dose de ataque: Administrar "&amp;ARRED.PARA.CIMA(SE(B2*15&gt;4000;4000;B2*15)/5;1)&amp;" mL por via EV. (Infundir em 60 minutos) | Dose de manutenção: Administrar "&amp;ARRED.PARA.CIMA(SE(B2*7,5*2&gt;4000;4000/2;B2*7,5)/5;1)&amp;" mL por via EV de 12/12 horas. (Infundir em 60 minutos)";"Dose de ataque: Administrar "&amp;ARRED.PARA.CIMA(SE(B2*15&gt;4000;4000;B2*15)/5;1)&amp;" mL por via EV. (Infundir em 60 minutos) | Dose de manutenção: Administrar "&amp;ARRED.PARA.CIMA(SE(B2*7,5*3&gt;4000;4000/3;B2*7,5)/5;1)&amp;" mL por via EV de 8/8 horas. (Infundir em 60 minutos)")
Exemplos Adicionais
Cálculo de Frascos e Reconstituição
Descrição: Calcula o número de frascos necessários e o volume total, ajustando limites automaticamente.
Fórmula no Excel:
excel
Copiar código
="Reconstituir "&amp;ARRED.PARA.CIMA((B2*100)/1000;0)&amp;" frasco(s) com "&amp;ARRED.PARA.CIMA((B2*100)/1000;0)*5&amp;" mL de AD. Administrar "&amp;ARRED.PARA.CIMA(SE((B2*100)&lt;=4000;(B2*100)/200;4000/200);1)&amp;" mL por via EV diluído em 100 mL de SF 0,9% a cada 24/24 horas. Infundir em 60 minutos."
Recomendações Baseadas em Faixas de Valores
Descrição: Define regimes de dosagem baseados em faixas específicas.
Fórmula no Excel:
excel
Copiar código
=SE(B2&lt;28,6;"Não se aplica";SE((B2*7)&lt;=300;"Tomar 1 comprimido de 12/12 horas por 7 dias.";SE((B2*7)&lt;=400;"Tomar 1 comprimido de 8/8 horas por 7 dias."; "Tomar 1 comprimido de 6/6 horas por 7 dias.")))
Cálculo de Volume e Frequência
Descrição: Calcula volumes e frequência com base em limites e arredondamento.
Fórmula no Excel:
excel
Copiar código
="Tomar " &amp; ARRED.PARA.BAIXO(SE((B2*20)&lt;=1500; SE(((B2*20)/3)/(250/5)&lt;=10; ((B2*20)/3)/(250/5); 10); SE((1500/3)/(250/5)&lt;=10; (1500/3)/(250/5); 10)); 1) &amp; " mL de 8/8 horas por 7 a 10 dias."
Cálculo de Volumes com Múltiplos Componentes
Descrição: Calcula volumes para SG5%, NaCl, KCl e taxa de infusão horária.
Fórmula no Excel:
excel
Copiar código
=ARRED.PARA.CIMA(SE(B2&lt;=10;B2*100;SE(B2&lt;=20;1000+(B2-10)*50;1500+(B2-20)*20))/250;0)*250&amp;" ML SG5% |"&amp;ARRED.PARA.BAIXO((136*ARRED.PARA.CIMA(SE(B2&lt;=10;B2*100;SE(B2&lt;=20;1000+(B2-10)*50;1500+(B2-20)*20))/250;0)*250)/1000/3,4;1)&amp;" ML NaCl 20% |"&amp;ARRED.PARA.BAIXO((25*ARRED.PARA.CIMA(SE(B2&lt;=10;B2*100;SE(B2&lt;=20;1000+(B2-10)*50;1500+(B2-20)*20))/250;0)*250)/1000/1,5;1)&amp;" ML KCl 15% |"&amp;ARRED.PARA.CIMA(((ARRED.PARA.CIMA(SE(B2&lt;=10;B2*100;SE(B2&lt;=20;1000+(B2-10)*50;1500+(B2-20)*20))/250;0)*250)+(136*ARRED.PARA.CIMA(SE(B2&lt;=10;B2*100;SE(B2&lt;=20;1000+(B2-10)*50;1500+(B2-20)*20))/250;0)*250)/1000/3,4+(25*ARRED.PARA.CIMA(SE(B2&lt;=10;B2*100;SE(B2&lt;=20;1000+(B2-10)*50;1500+(B2-20)*20))/250;0)*250)/1000/1,5)/24;0)&amp;" ML/H BIC"
Tarefa Final
Crie novas fórmulas baseando-se nos exemplos e nas diretrizes.
Certifique-se de usar B2 para peso (kg) e B1 para idade (anos).
Garanta precisão e arredondamento conforme especificado.</t>
  </si>
  <si>
    <t>IDADE EM ANOS</t>
  </si>
  <si>
    <t>PESO EM KG</t>
  </si>
  <si>
    <t>Paciente chega ao pronto-socorro acompanhado da genitora, relatando quadro clínico com início dos sintomas há 2 dias. Nega alergia medicamentosa conhecida e não apresenta outros sinais ou sintomas relevantes no momento da avaliação.</t>
  </si>
  <si>
    <t>EXAME FISCIO</t>
  </si>
  <si>
    <r>
      <rPr>
        <b/>
        <sz val="11"/>
        <color rgb="FF000000"/>
        <rFont val="Calibri"/>
        <family val="2"/>
      </rPr>
      <t>ECTOSCOPIA:</t>
    </r>
    <r>
      <rPr>
        <sz val="11"/>
        <color rgb="FF000000"/>
        <rFont val="Calibri"/>
        <family val="2"/>
      </rPr>
      <t xml:space="preserve"> Paciente em bom estado geral (BEG), corada, hidratada, anictérica, acianótica e afebril.</t>
    </r>
  </si>
  <si>
    <r>
      <t>NEUROLÓGICO:</t>
    </r>
    <r>
      <rPr>
        <sz val="11"/>
        <color rgb="FF000000"/>
        <rFont val="Calibri"/>
        <family val="2"/>
        <scheme val="minor"/>
      </rPr>
      <t xml:space="preserve"> Lúcida, orientada no tempo e espaço (LOTE), comunicativa, Escala de Glasgow 15, sem sinais meníngeos (Kernig e Brudzinski negativos).</t>
    </r>
  </si>
  <si>
    <r>
      <t>ACV:</t>
    </r>
    <r>
      <rPr>
        <sz val="11"/>
        <color rgb="FF000000"/>
        <rFont val="Calibri"/>
        <family val="2"/>
        <scheme val="minor"/>
      </rPr>
      <t xml:space="preserve"> Ritmo cardíaco regular (RCR), bulhas normofonéticas em dois tempos (BNF em 2T), sem sopros.</t>
    </r>
  </si>
  <si>
    <r>
      <rPr>
        <b/>
        <sz val="11"/>
        <color rgb="FF000000"/>
        <rFont val="Calibri"/>
        <scheme val="minor"/>
      </rPr>
      <t>OROSCOPIA:</t>
    </r>
    <r>
      <rPr>
        <sz val="11"/>
        <color rgb="FF000000"/>
        <rFont val="Calibri"/>
        <scheme val="minor"/>
      </rPr>
      <t xml:space="preserve"> Sem alterações significativas.</t>
    </r>
  </si>
  <si>
    <r>
      <t>OTOSCOPIA:</t>
    </r>
    <r>
      <rPr>
        <sz val="11"/>
        <color rgb="FF000000"/>
        <rFont val="Calibri"/>
        <family val="2"/>
        <scheme val="minor"/>
      </rPr>
      <t xml:space="preserve"> Sem alterações significativas.</t>
    </r>
  </si>
  <si>
    <r>
      <t>AR:</t>
    </r>
    <r>
      <rPr>
        <sz val="11"/>
        <color rgb="FF000000"/>
        <rFont val="Calibri"/>
        <family val="2"/>
        <scheme val="minor"/>
      </rPr>
      <t xml:space="preserve"> Murmúrio vesicular presente (MV+), sem ruídos adventícios, eupneica em ar ambiente.</t>
    </r>
  </si>
  <si>
    <r>
      <t>ABD:</t>
    </r>
    <r>
      <rPr>
        <sz val="11"/>
        <color rgb="FF000000"/>
        <rFont val="Calibri"/>
        <family val="2"/>
        <scheme val="minor"/>
      </rPr>
      <t xml:space="preserve"> Abdome plano, flácido, ruídos hidroaéreos presentes (RHA+), indolor à palpação superficial e profunda, sem massas palpáveis ou visceromegalias (VCM), sem sinais de peritonite.</t>
    </r>
  </si>
  <si>
    <r>
      <t>MMII:</t>
    </r>
    <r>
      <rPr>
        <sz val="11"/>
        <color rgb="FF000000"/>
        <rFont val="Calibri"/>
        <family val="2"/>
        <scheme val="minor"/>
      </rPr>
      <t xml:space="preserve"> Ausência de edemas, panturrilhas livres, tempo de enchimento capilar inferior a 2 segundos (TEC &lt; 2s).</t>
    </r>
  </si>
  <si>
    <r>
      <t>PELE E FÂNEROS:</t>
    </r>
    <r>
      <rPr>
        <sz val="11"/>
        <color rgb="FF000000"/>
        <rFont val="Calibri"/>
        <family val="2"/>
        <scheme val="minor"/>
      </rPr>
      <t xml:space="preserve"> Sem lesões visíveis ou alterações aparentes.</t>
    </r>
  </si>
  <si>
    <t>CONDUTA</t>
  </si>
  <si>
    <t>Oriento o responsável de forma detalhada sobre o quadro clínico atual, os cuidados necessários, medicações prescritas, potenciais riscos, efeitos adversos, possíveis complicações e o prognóstico esperado. O paciente e/ou familiar demonstram compreensão das orientações fornecidas e consentem formalmente com as condutas propostas. Estão cientes de que o quadro clínico pode apresentar variações na evolução, sendo informados sobre as possíveis variáveis e a importância de buscar atendimento no pronto-atendimento (PA) sempre que houver indicação ou agravamento do quadro.</t>
  </si>
  <si>
    <t>VENTURA23@</t>
  </si>
  <si>
    <t>https://www10.goiania.go.gov.br/Internet/Login.aspx</t>
  </si>
  <si>
    <t>laudo</t>
  </si>
  <si>
    <t>http://10.0.0.99/ris/login</t>
  </si>
  <si>
    <t>HIC2024</t>
  </si>
  <si>
    <t>HIC</t>
  </si>
  <si>
    <t>https://imd.shiftcloud.com.br/shift/lis/imd/elis/s01.iu.web.Login.cls</t>
  </si>
  <si>
    <t>Anakarla2468</t>
  </si>
  <si>
    <t>027.690.641-18</t>
  </si>
  <si>
    <t>https://whitebook.pebmed.com.br/login/</t>
  </si>
  <si>
    <t>Draanakarlaalves7@gmail.com</t>
  </si>
  <si>
    <t>https://web.wemeds.app/</t>
  </si>
  <si>
    <t>NOME DO PACIENTE</t>
  </si>
  <si>
    <t>Carlos Henrick dos Santos</t>
  </si>
  <si>
    <t>IDADE DO PACIENTE</t>
  </si>
  <si>
    <t>PESO (KG)</t>
  </si>
  <si>
    <t>FOLHA DE PARADA</t>
  </si>
  <si>
    <t>DROGA</t>
  </si>
  <si>
    <t>VIA</t>
  </si>
  <si>
    <t>PRESCRIÇÃO</t>
  </si>
  <si>
    <t>ADRENALINA (1:1000)</t>
  </si>
  <si>
    <t>EV; ET; IO</t>
  </si>
  <si>
    <t>ATROPINA (0,5 MG/ML)</t>
  </si>
  <si>
    <t>BICARBONATO DE SÓDIO (8,4%)</t>
  </si>
  <si>
    <t>EV; IO</t>
  </si>
  <si>
    <t>GLUCOSE (50%)</t>
  </si>
  <si>
    <t>GLUCA (10%)</t>
  </si>
  <si>
    <t>LIDOCAÍNA</t>
  </si>
  <si>
    <t>FENTANYL (50 MCG/ML)</t>
  </si>
  <si>
    <t>EV; IO; IM</t>
  </si>
  <si>
    <t>MORFINA (10 MG/ML)</t>
  </si>
  <si>
    <t>CETAMINA (PURO, 50 MG/ML)</t>
  </si>
  <si>
    <t>CETAMINA (DILUÍDO, 10 MG/ML)</t>
  </si>
  <si>
    <t>MIDAZOLAM (5 MG/ML)</t>
  </si>
  <si>
    <t>PROPOFOL (10 MG/ML)</t>
  </si>
  <si>
    <t>SUCCINILCOLINA (10 MG/ML)</t>
  </si>
  <si>
    <t>EV</t>
  </si>
  <si>
    <t>PANCURÔNIO (2 MG/ML)</t>
  </si>
  <si>
    <t>ROCURÔNIO (10 MG/ML)</t>
  </si>
  <si>
    <t>EV; IO; ET; IM</t>
  </si>
  <si>
    <t>NALOXONA (0,4 MG/ML)</t>
  </si>
  <si>
    <t>FLUMAZENIL (0,1 MG/ML)</t>
  </si>
  <si>
    <t>TUBO OTQ</t>
  </si>
  <si>
    <t>ET</t>
  </si>
  <si>
    <t>DISTÂNCIA TOT</t>
  </si>
  <si>
    <t>ATRACÚRIO (10 MG/ML)</t>
  </si>
  <si>
    <t>KG</t>
  </si>
  <si>
    <t>MG/DL</t>
  </si>
  <si>
    <t>UI/H</t>
  </si>
  <si>
    <t>UI/KG/H</t>
  </si>
  <si>
    <t>ML/H</t>
  </si>
  <si>
    <t>PROTOCOLO DE CONTROLE DE GLICEMIA</t>
  </si>
  <si>
    <t>GLICEMIA ≥ 180 MG/DL</t>
  </si>
  <si>
    <t>GLICEMIA ↑</t>
  </si>
  <si>
    <t>↑ “2 X Δ”</t>
  </si>
  <si>
    <t>GLICEMIA INALTERADA OU GLICEMIA ↓ DE 1 - 40 MG/DL/H</t>
  </si>
  <si>
    <t>↑ “1 X Δ”</t>
  </si>
  <si>
    <t>GLICEMIA ↓ DE 41 - 80 MG/DL/H</t>
  </si>
  <si>
    <t>NÃO ALTERA</t>
  </si>
  <si>
    <t>GLICEMIA ↓ DE 81 - 120 MG/DL/H</t>
  </si>
  <si>
    <t>↓ “1 X Δ”</t>
  </si>
  <si>
    <t>GLICEMIA ↓ + DE 120 MG/DL/H</t>
  </si>
  <si>
    <t>PARA A INFUSÃO POR 30 MIN. E REINICIE ↓ “2 X Δ”</t>
  </si>
  <si>
    <t>DOSE DE INSULINA (UI/KG/H)</t>
  </si>
  <si>
    <t>∆ (ML)</t>
  </si>
  <si>
    <t>2 x ∆ (ML)</t>
  </si>
  <si>
    <t>&lt; 0,04 UI/KG/H</t>
  </si>
  <si>
    <t>0,04 - 0,08 UI/KG/H</t>
  </si>
  <si>
    <t>0,09 - 0,13 UI/KG/H</t>
  </si>
  <si>
    <t>0,14 - 0,2 UI/KG/H</t>
  </si>
  <si>
    <t>0,21 - 0,27 UI/KG/H</t>
  </si>
  <si>
    <t>0,28 - 0,35 UI/KG/H</t>
  </si>
  <si>
    <t>&gt; 0,35 UI/KG/H</t>
  </si>
  <si>
    <t>DILUIÇÃO PADRÃO: SEDATIVOS, ANALGESIA E DROGAS VASOATIVAS</t>
  </si>
  <si>
    <t>CALCULADORA PARA DILUIÇÃO MEDICAMENTOSA - CRIANÇAS</t>
  </si>
  <si>
    <t>PESO EM "KG" -&gt; -&gt; -&gt;</t>
  </si>
  <si>
    <t>DOSE EM "MG/MCG" -&gt; -&gt;</t>
  </si>
  <si>
    <t>MEDICAMENTO</t>
  </si>
  <si>
    <t>APRESENTAÇÃO</t>
  </si>
  <si>
    <t>DROGA (ML)</t>
  </si>
  <si>
    <t>DILUENTE (ML)</t>
  </si>
  <si>
    <t>CONCENTRAÇÃO FINAL DA SOLUÇÃO</t>
  </si>
  <si>
    <t>CÁLCULO (ML/H)</t>
  </si>
  <si>
    <t>DOSE/KG</t>
  </si>
  <si>
    <t xml:space="preserve">DOBUTAMINA 250 MG/20ML </t>
  </si>
  <si>
    <t>12,5 MG/ML</t>
  </si>
  <si>
    <t>2 a 25 MCG/KG/MIN</t>
  </si>
  <si>
    <t>DOPAMINA 50 MG/10ML</t>
  </si>
  <si>
    <t>5 MG/ML</t>
  </si>
  <si>
    <t>2 a 5 MCG/KG/MIN</t>
  </si>
  <si>
    <t>EPINEFRINA 1 MG/1ML</t>
  </si>
  <si>
    <t>1 MG/ML</t>
  </si>
  <si>
    <t>10 MCG/KG/MIN</t>
  </si>
  <si>
    <t>Parada cardíaca: 0,01 mg/kg (0,1 mL/kg de solução 1:10.000) IV/IO a cada 3-5 min | Anafilaxia: 0,01 mg/kg IM, máx. 0,3 mg/dose, repetir a cada 5-15 min.</t>
  </si>
  <si>
    <t>EPINEFRINA 10 MG/1ML</t>
  </si>
  <si>
    <t>10 MG/ML</t>
  </si>
  <si>
    <t>0,05 a 0,5 MCG/KG/MIN</t>
  </si>
  <si>
    <t>NOREPINEFRINA 4 MG/4ML</t>
  </si>
  <si>
    <t>0,05 a 1 MCG/KG/MIN</t>
  </si>
  <si>
    <t>MILRINONA 10 MG/10ML</t>
  </si>
  <si>
    <t xml:space="preserve"> 1 MG/ML</t>
  </si>
  <si>
    <t>0,25 a 0,75 MCG/KG/MIN</t>
  </si>
  <si>
    <t>Dose de ataque: 50 mcg/kg IV em 10-60 minutos.</t>
  </si>
  <si>
    <t>AMIODARONA 150 MG/3ML</t>
  </si>
  <si>
    <t>50 MG/ML</t>
  </si>
  <si>
    <t>10 a 15 MCG/KG/MIN</t>
  </si>
  <si>
    <t>Parada cardíaca: 5 mg/kg IV em bolus durante RCP, pode repetir até 15 mg/kg/dia.</t>
  </si>
  <si>
    <t>VASOPRESSINA 20 U/1ML</t>
  </si>
  <si>
    <t>20 U/ML</t>
  </si>
  <si>
    <t>1 a 4 MCG/MIN</t>
  </si>
  <si>
    <t>Parada cardíaca: Dose única de 0,4 U/kg IV em bolus.</t>
  </si>
  <si>
    <t>NITROPRUSSIATO 50 MG + 2ML AD</t>
  </si>
  <si>
    <t>25 MG/ML</t>
  </si>
  <si>
    <t>0,3 MCG/KG/MIN</t>
  </si>
  <si>
    <t>Ajustar a cada 5 min | Dose máxima: 10 mcg/kg/min, não mais de 10 minutos.</t>
  </si>
  <si>
    <t>SEDATIVOS E ANALGESIA</t>
  </si>
  <si>
    <t>FENTANIL 50 MCG/1ML</t>
  </si>
  <si>
    <t>0,05 MG/ML</t>
  </si>
  <si>
    <t>0,5 a 3 MCG/KG/H</t>
  </si>
  <si>
    <t>Bolus IV: 1 a 2 mcg/kg administrado lentamente (1-2 min)</t>
  </si>
  <si>
    <t>MIDAZOLAM 5 MG/1ML</t>
  </si>
  <si>
    <t>10 a 100 MCG/KG/H</t>
  </si>
  <si>
    <t>Sedação: 0,05 a 0,1 mg/kg IV em bolus lento (máx. 2 mg/dose), repetir se necessário</t>
  </si>
  <si>
    <t>KETAMINA 50 MG/1ML</t>
  </si>
  <si>
    <t>100 a 500 MCG/KG/H</t>
  </si>
  <si>
    <t>Indução: 1 a 2 mg/kg IV administrado lentamente (30-60 seg)</t>
  </si>
  <si>
    <t>PRECEDEX 100 MCG/1ML</t>
  </si>
  <si>
    <t>0,1 MG/ML</t>
  </si>
  <si>
    <t>0,2 a 0,7 MCG/KG/H</t>
  </si>
  <si>
    <t>Bolus inicial (opcional): 0,5 a 1 mcg/kg administrado em 10 Min</t>
  </si>
  <si>
    <t>MORFINA 10 MG/ML</t>
  </si>
  <si>
    <t>10 a 50 MCG/KG/H</t>
  </si>
  <si>
    <t>Bolus IV: 0,05 a 0,1 mg/kg a cada 2-4 horas, ajustado conforme resposta</t>
  </si>
  <si>
    <t>PROPOFOL 2% 1 G/50 ML</t>
  </si>
  <si>
    <t>20 MG/ML</t>
  </si>
  <si>
    <t>25 a 75 MCG/KG/MIN</t>
  </si>
  <si>
    <t>Indução: 1 a 2,5 mg/kg IV em bolus lento - Manutenção: 50 a 200 mcg/kg/min - BIC</t>
  </si>
  <si>
    <t>PROPOFOL 200 MG/20 ML</t>
  </si>
  <si>
    <t>Indução: 1 a 2,5 mg/kg IV em bolus lento - Manutenção: 50 a 150 mcg/kg/min - BIC</t>
  </si>
  <si>
    <t>ROCURONIO 10 MG/1ML</t>
  </si>
  <si>
    <t>8 a 12 MCG/KG/MIN</t>
  </si>
  <si>
    <t>Intubação rápida: 0,6 a 1,2 mg/kg IV em bolus | Manutenção: 0,1 a 0,2 mg/kg IV</t>
  </si>
  <si>
    <t>CISATRACÚRIO 2 MG/1ML</t>
  </si>
  <si>
    <t>2 MG/ML</t>
  </si>
  <si>
    <t>1 a 3 MCG/KG/MIN</t>
  </si>
  <si>
    <t>Intubação: 0,1 a 0,2 mg/kg IV em bolus | Manutenção: 0,03 mg/kg a cada 20/min</t>
  </si>
  <si>
    <t>MACETES PARA CALCULOS</t>
  </si>
  <si>
    <t>Peso / 2 = X ml de 12 em 12 horas (Dose máxima dia: 1750mg)</t>
  </si>
  <si>
    <t>Peso / 3 = X ml de 12 em 12 horas (Dose máxima dia: 1750mg)</t>
  </si>
  <si>
    <t>Peso / 3 = dose em ml 8/8hs 7 a 14 dias (máx.: 10ml/dose)</t>
  </si>
  <si>
    <t>Peso / 3 = dose em ml 12/12hs 7 a 14 dias (máx.: 10ml/dose)</t>
  </si>
  <si>
    <t>Peso x 0,3 = X ml de 12 em 12 horas (Dose máxima dia: 1g)</t>
  </si>
  <si>
    <t>Peso / 2,5 = X ml de 12 em 12 horas (Dose máxima dia: 1g)</t>
  </si>
  <si>
    <t>Peso / 4 = X ml de 12 em 12 horas (Dose máxima dia: 1g)</t>
  </si>
  <si>
    <t>Peso / 4 = X ml de 6 em 6 Horas ou Peso / 2 = X ml de 12 em 12 horas.</t>
  </si>
  <si>
    <t>Peso / 4 = X ml uma vez ao dia (Dose máxima dia: 2g)</t>
  </si>
  <si>
    <t>7,5mg/Kg/dia de 12/12h 7 a 14 dias (máx.:1,5g/dose)</t>
  </si>
  <si>
    <t>5mg/kg/dia de 6/6 horas (max: 100mg/dia)</t>
  </si>
  <si>
    <t>5mg/kg/dia de 6/6 horas (max: 400mg/dia)</t>
  </si>
  <si>
    <t>0,5ml/Kg/dia de 8/8h (máx.:10ml/dose)</t>
  </si>
  <si>
    <t>Peso x 0,4 = X Gotas de 6 em 6 horas (Dose máxima: 20 Gotas de 6 em 6 Horas)</t>
  </si>
  <si>
    <t>Peso x 0,2 = X ml de 6 em 6 horas (Dose máxima dia: 500mg)</t>
  </si>
  <si>
    <t>Peso x 0,02 = X ml de 6 em 6 horas IM ou EV (Dose máxima dia: 1g)</t>
  </si>
  <si>
    <t>1mg/kg/dose EV de 8/8h Diluir em SF 0,9% 100ml</t>
  </si>
  <si>
    <t>1gota/kg/dose 6/6hs (máx.:40gotas/dose)</t>
  </si>
  <si>
    <t>Peso / 20 dose em ml, EV de 6/6h</t>
  </si>
  <si>
    <t>1 Gota/Kg = X Gotas de 4 em 4 Horas (Dose máxima dia: 35 Gotas/dose)</t>
  </si>
  <si>
    <t>1 Gota por Kg de 6 em 6 horas (Dose máxima dia: 200mg ou 20 Gotas/dose)</t>
  </si>
  <si>
    <t>1 mg/kg/dose 8/8h - EV Infundir diluído no soro lentamente</t>
  </si>
  <si>
    <t>1gota/Kg/dose 8/8hs 2 a 5 dias (máx.:40gotas/dose)</t>
  </si>
  <si>
    <t>1gota/Kg/dose 12/12hs 2 a 5 dias (máx.:40gotas/dose)</t>
  </si>
  <si>
    <t>Peso x 0,05 = X Filme de 8 em 8 Horas (Dose máxima: 4mg/Dose)</t>
  </si>
  <si>
    <t>1 Gota/kg = X de 8 em 8 Horas (Dose máxima: 20mg/Dose)</t>
  </si>
  <si>
    <t>1 Gota/Kg = X Gotas de 8 em 8 Horas.</t>
  </si>
  <si>
    <t>1mg/kg/dia, EV, dose única pela manhã (dose máx: 60mg/dia)</t>
  </si>
  <si>
    <t>2 gotas/kg/dose de 12/12h</t>
  </si>
  <si>
    <t>1g/kg/dose (Máx. 50g)</t>
  </si>
  <si>
    <t>Peso x 0,1 = X ml de 8 em 8 Horas EV ou IM (Dose máxima: 4mg/2ml)</t>
  </si>
  <si>
    <t>Peso x 0,04 = X ml EV ou IM de 8 em 8 Horas. (Dose máxima: 20mg/dose)</t>
  </si>
  <si>
    <t>Peso x 0,4 = X ml EV de 8 em 8 Horas.</t>
  </si>
  <si>
    <t>Peso x 0,025 = X ml IM de 8 em 8 Horas.</t>
  </si>
  <si>
    <t>Peso / 20 = dose em ml EV (máx.:2ml)</t>
  </si>
  <si>
    <t>Peso/3 = X ml VO de 8 em 8 Horas.</t>
  </si>
  <si>
    <t>Peso / 4 = dose em ml 8/8 5 dias (máx.:10ml/dose)</t>
  </si>
  <si>
    <t>Peso X 0,01 = X ml IM de 8 em 8 Horas.</t>
  </si>
  <si>
    <t>Peso X 0,03 = X ml IM de 8 em 8 Horas. (Dose Máxima: 300mg/dia)</t>
  </si>
  <si>
    <t>Peso/3 = X ml VO Uma vez ao dia (Dose máxima: 40mg/dia)</t>
  </si>
  <si>
    <t>Peso / 4= ml/dose 6/6hs 5-7 dias. (máx.:15ml/dose)</t>
  </si>
  <si>
    <t>Peso x 0,08 = X ml EV ou IM de 6 em 6 Horas.</t>
  </si>
  <si>
    <t>5mg/kg (ASMA) e 10mg/kg (ALERGIA). Infundir em SG5% - (No maximo 3  a 5 ml por sitio IM profundo)</t>
  </si>
  <si>
    <t>Peso X 0,016 = X ml de 6 em 6 Horas EV ou IM</t>
  </si>
  <si>
    <t>Peso x 0,1 = X ml diluir em um SF 0,9% de 60ml é Administrar em 30 Minutos.</t>
  </si>
  <si>
    <t>Peso x 0,15 = X ml Uma vez ao dia EV ou IM.</t>
  </si>
  <si>
    <t>Peso/100 = X ml Puro IM (Pode repetir até 3 Vezes a cada 15 minutos)</t>
  </si>
  <si>
    <t>Peso/10 = X ml Fazer em Bolus a cada 3 Minutos.</t>
  </si>
  <si>
    <t>Peso = X ml Uma vez ao dia EV</t>
  </si>
  <si>
    <t>Volume por dose (mL) = (Peso x 7,5 mg/kg) / 50 mg/mL</t>
  </si>
  <si>
    <t>Volume por dose (mL) = (Peso x  7,5 mg/kg) / 125 mg/mL</t>
  </si>
  <si>
    <t xml:space="preserve">Volume por dose (mL) = (Peso x 25 mg/kg) / (2 x 1200 mg/mL) </t>
  </si>
  <si>
    <t>Peso x 0,075 = X ml de 6 em 6 Horas EV</t>
  </si>
  <si>
    <t>Peso x 0,25 = X ml de 6 em 6 Horas EV</t>
  </si>
  <si>
    <t>Peso x 0,09 = X ml Uma vez ao dia EV (Dose máxima: 2,7g/Dia)</t>
  </si>
  <si>
    <t>Peso x 0,2 = X ml de 6 em 6 Horas EV (Dose máxima: 2g/Dose)</t>
  </si>
  <si>
    <t>Peso x 0,8 = X ml de 8 em 8 Horas EV (Dose máxima: 6g/Dose)</t>
  </si>
  <si>
    <t>Peso x 0,13 = X ml de 8 em 8 Horas EV (Dose máxima: 12g/Dose)</t>
  </si>
  <si>
    <t>Volume por dose (mL) = (Peso do paciente x  90) / 4500</t>
  </si>
  <si>
    <t>Peso x 3 = X ml Dose de ataque EV | Peso x 1,5 = X ml Dose de manutenção EV (Dose máxima: 4g/Dia)</t>
  </si>
  <si>
    <t>Peso x 0,35 = X ml IM uma vez dia (Dose máxima: 4g/Dia)</t>
  </si>
  <si>
    <t>Peso x 0,04 = X ml IM ou IV.</t>
  </si>
  <si>
    <t>Peso x 0,04 = X ml Uma vez ao dia EV.</t>
  </si>
  <si>
    <t>Peso x 0,2 = X ml Uma vez ao dia EV.</t>
  </si>
  <si>
    <t>Peso x 0,15 = X ml Uma vez ao dia EV.</t>
  </si>
  <si>
    <t>Peso x 0,1 = X ml Uma vez ao dia EV.</t>
  </si>
  <si>
    <t>Peso x 0,08 = X ml Uma vez ao dia EV (Dose Máxima: 2ml/Dose)</t>
  </si>
  <si>
    <t>0,1-0,2mg/kg - Bolus rápido</t>
  </si>
  <si>
    <t>Peso x 0,1 = X ml Diluir em 10ml de AD e Fazer EV (Dose máxima: 20mg/Dia)</t>
  </si>
  <si>
    <t>Peso x 0,4 = X ml Diluir em 10ml de AD e Fazer EV (Dose máxima: 20mg/Dia)</t>
  </si>
  <si>
    <t>Peso x 0,2 = X ml Diluir em 100ml de SF 0,9% e Fazer EV (Dose máxima: 40mg/Dia)</t>
  </si>
  <si>
    <t>10ml/Kg - A partir de 6 meses - máx 200ml/vez</t>
  </si>
  <si>
    <t>1ml/kg/dia (máx 60ml)</t>
  </si>
  <si>
    <t>Diluir em suco cítrico 1g/kg/dia</t>
  </si>
  <si>
    <t>5gotas 1x ao dia</t>
  </si>
  <si>
    <t>7,5 x Peso / 20 = dose em ml 12/12hs 3 dias (máx.:15ml/dose)</t>
  </si>
  <si>
    <t>10ml 1x ao dia - 3-5 dias. Evitar &lt; 2 anos</t>
  </si>
  <si>
    <t>Escabiose, Pediculose, Miíase. Vide Tabela</t>
  </si>
  <si>
    <t>5ml 12/12hs 3 dias. Evitar &lt; 2 anos</t>
  </si>
  <si>
    <t>1ml/kg dose única – Máx 60ml – repetir após 2 a 3 sem</t>
  </si>
  <si>
    <t>3-6 anos: 5ml &gt;6 anos: 10 ml 12/12hs 5 dias</t>
  </si>
  <si>
    <t>1-5 anos: 2,5ml 6-12 anos: 5ml &gt; 12 anos: 10 ml</t>
  </si>
  <si>
    <t>Tosse seca, irritativa. &gt; 2 anos. Peso/6: dose em ml 8/8h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</si>
</sst>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b/>
      <sz val="15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3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2060"/>
      <name val="Calibri"/>
      <family val="2"/>
    </font>
    <font>
      <sz val="11"/>
      <color rgb="FF242424"/>
      <name val="Consolas"/>
      <family val="2"/>
    </font>
    <font>
      <sz val="11"/>
      <color rgb="FF002060"/>
      <name val="Aptos Narrow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C5D9F1"/>
        <bgColor rgb="FFC5D9F1"/>
      </patternFill>
    </fill>
    <fill>
      <patternFill patternType="solid">
        <fgColor rgb="FF808080"/>
        <bgColor rgb="FF808080"/>
      </patternFill>
    </fill>
    <fill>
      <patternFill patternType="solid">
        <fgColor rgb="FF8DB4E2"/>
        <bgColor rgb="FF8DB4E2"/>
      </patternFill>
    </fill>
    <fill>
      <patternFill patternType="solid">
        <fgColor rgb="FFBDD7EE"/>
        <bgColor rgb="FFBDD7EE"/>
      </patternFill>
    </fill>
    <fill>
      <patternFill patternType="solid">
        <fgColor rgb="FFCBCBCB"/>
        <bgColor rgb="FFCBCBCB"/>
      </patternFill>
    </fill>
    <fill>
      <patternFill patternType="solid">
        <fgColor rgb="FFDBE5F1"/>
        <bgColor rgb="FFDBE5F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505050"/>
      </top>
      <bottom/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000000"/>
      </bottom>
      <diagonal/>
    </border>
    <border>
      <left/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0" fillId="12" borderId="37" xfId="0" applyFont="1" applyFill="1" applyBorder="1" applyAlignment="1">
      <alignment horizontal="left" vertical="center" wrapText="1"/>
    </xf>
    <xf numFmtId="0" fontId="10" fillId="14" borderId="37" xfId="0" applyFont="1" applyFill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10" fillId="9" borderId="37" xfId="0" applyFont="1" applyFill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17" fillId="0" borderId="14" xfId="0" applyFont="1" applyBorder="1" applyAlignment="1">
      <alignment vertical="center" wrapText="1"/>
    </xf>
    <xf numFmtId="0" fontId="0" fillId="0" borderId="0" xfId="0" applyAlignment="1">
      <alignment wrapText="1"/>
    </xf>
    <xf numFmtId="0" fontId="13" fillId="0" borderId="14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16" borderId="21" xfId="0" applyFont="1" applyFill="1" applyBorder="1" applyAlignment="1">
      <alignment horizontal="center" vertical="center" wrapText="1"/>
    </xf>
    <xf numFmtId="0" fontId="0" fillId="17" borderId="38" xfId="0" applyFill="1" applyBorder="1" applyAlignment="1">
      <alignment horizontal="left" vertical="center" wrapText="1"/>
    </xf>
    <xf numFmtId="0" fontId="0" fillId="17" borderId="7" xfId="0" applyFill="1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left" vertical="center" wrapText="1"/>
    </xf>
    <xf numFmtId="0" fontId="9" fillId="16" borderId="23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26" xfId="0" applyFont="1" applyFill="1" applyBorder="1" applyAlignment="1" applyProtection="1">
      <alignment horizontal="right" vertical="center" wrapText="1"/>
      <protection locked="0"/>
    </xf>
    <xf numFmtId="0" fontId="9" fillId="5" borderId="27" xfId="0" applyFont="1" applyFill="1" applyBorder="1" applyAlignment="1">
      <alignment horizontal="left" vertical="center" wrapText="1"/>
    </xf>
    <xf numFmtId="0" fontId="9" fillId="5" borderId="28" xfId="0" applyFont="1" applyFill="1" applyBorder="1" applyAlignment="1" applyProtection="1">
      <alignment horizontal="right" vertical="center" wrapText="1"/>
      <protection locked="0"/>
    </xf>
    <xf numFmtId="0" fontId="9" fillId="5" borderId="29" xfId="0" applyFont="1" applyFill="1" applyBorder="1" applyAlignment="1">
      <alignment horizontal="left" vertical="center" wrapText="1"/>
    </xf>
    <xf numFmtId="0" fontId="9" fillId="17" borderId="28" xfId="0" applyFont="1" applyFill="1" applyBorder="1" applyAlignment="1">
      <alignment horizontal="right" vertical="center" wrapText="1"/>
    </xf>
    <xf numFmtId="0" fontId="9" fillId="17" borderId="29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11" borderId="28" xfId="0" applyFont="1" applyFill="1" applyBorder="1" applyAlignment="1">
      <alignment horizontal="right" vertical="center" wrapText="1"/>
    </xf>
    <xf numFmtId="0" fontId="9" fillId="11" borderId="3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9" fillId="16" borderId="32" xfId="0" applyFont="1" applyFill="1" applyBorder="1" applyAlignment="1">
      <alignment horizontal="right" vertical="center" wrapText="1"/>
    </xf>
    <xf numFmtId="0" fontId="9" fillId="16" borderId="33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2" fillId="7" borderId="12" xfId="0" applyFont="1" applyFill="1" applyBorder="1" applyAlignment="1">
      <alignment vertical="center" wrapText="1"/>
    </xf>
    <xf numFmtId="0" fontId="24" fillId="0" borderId="14" xfId="0" applyFont="1" applyBorder="1" applyAlignment="1">
      <alignment horizontal="center" vertical="center" wrapText="1"/>
    </xf>
    <xf numFmtId="0" fontId="28" fillId="17" borderId="38" xfId="0" applyFont="1" applyFill="1" applyBorder="1" applyAlignment="1">
      <alignment horizontal="left" vertical="center" wrapText="1"/>
    </xf>
    <xf numFmtId="0" fontId="28" fillId="17" borderId="7" xfId="0" applyFont="1" applyFill="1" applyBorder="1" applyAlignment="1">
      <alignment horizontal="left" vertical="center" wrapText="1"/>
    </xf>
    <xf numFmtId="0" fontId="28" fillId="17" borderId="20" xfId="0" applyFont="1" applyFill="1" applyBorder="1" applyAlignment="1">
      <alignment horizontal="left" vertical="center" wrapText="1"/>
    </xf>
    <xf numFmtId="0" fontId="0" fillId="16" borderId="19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9" fillId="16" borderId="34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left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9" fillId="19" borderId="18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9" fillId="16" borderId="18" xfId="0" applyFont="1" applyFill="1" applyBorder="1" applyAlignment="1">
      <alignment horizontal="center" vertical="center" wrapText="1"/>
    </xf>
    <xf numFmtId="0" fontId="9" fillId="0" borderId="39" xfId="0" applyFont="1" applyBorder="1" applyAlignment="1">
      <alignment horizontal="left" vertical="center" wrapText="1"/>
    </xf>
    <xf numFmtId="0" fontId="9" fillId="16" borderId="39" xfId="0" applyFont="1" applyFill="1" applyBorder="1" applyAlignment="1">
      <alignment horizontal="center" vertical="center" wrapText="1"/>
    </xf>
    <xf numFmtId="0" fontId="9" fillId="16" borderId="40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9" fillId="17" borderId="21" xfId="0" applyFont="1" applyFill="1" applyBorder="1" applyAlignment="1">
      <alignment horizontal="left" vertical="center" wrapText="1"/>
    </xf>
    <xf numFmtId="49" fontId="9" fillId="16" borderId="21" xfId="0" applyNumberFormat="1" applyFont="1" applyFill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left" vertical="center" wrapText="1"/>
    </xf>
    <xf numFmtId="49" fontId="9" fillId="16" borderId="24" xfId="0" applyNumberFormat="1" applyFont="1" applyFill="1" applyBorder="1" applyAlignment="1">
      <alignment horizontal="center" vertical="center" wrapText="1"/>
    </xf>
    <xf numFmtId="49" fontId="9" fillId="16" borderId="34" xfId="0" applyNumberFormat="1" applyFont="1" applyFill="1" applyBorder="1" applyAlignment="1">
      <alignment horizontal="center" vertical="center" wrapText="1"/>
    </xf>
    <xf numFmtId="49" fontId="27" fillId="0" borderId="21" xfId="0" applyNumberFormat="1" applyFont="1" applyBorder="1" applyAlignment="1">
      <alignment horizontal="left" vertical="center" wrapText="1"/>
    </xf>
    <xf numFmtId="49" fontId="27" fillId="0" borderId="34" xfId="0" applyNumberFormat="1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0" fillId="17" borderId="23" xfId="0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9" fillId="16" borderId="23" xfId="0" applyFont="1" applyFill="1" applyBorder="1" applyAlignment="1">
      <alignment horizontal="left" vertical="center" wrapText="1"/>
    </xf>
    <xf numFmtId="0" fontId="30" fillId="0" borderId="14" xfId="0" applyFont="1" applyBorder="1" applyAlignment="1">
      <alignment vertical="center" wrapText="1"/>
    </xf>
    <xf numFmtId="0" fontId="29" fillId="0" borderId="23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2" fillId="0" borderId="2" xfId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16" borderId="2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9" fillId="20" borderId="9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9" fillId="17" borderId="24" xfId="0" applyFont="1" applyFill="1" applyBorder="1" applyAlignment="1">
      <alignment horizontal="center" vertical="center" wrapText="1"/>
    </xf>
    <xf numFmtId="0" fontId="9" fillId="17" borderId="25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2" fillId="0" borderId="1" xfId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9" fillId="22" borderId="21" xfId="0" applyFont="1" applyFill="1" applyBorder="1" applyAlignment="1">
      <alignment horizontal="center" vertical="center" wrapText="1"/>
    </xf>
    <xf numFmtId="0" fontId="9" fillId="16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15" borderId="3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0" fillId="12" borderId="37" xfId="0" applyFont="1" applyFill="1" applyBorder="1" applyAlignment="1" applyProtection="1">
      <alignment horizontal="center" vertical="center" wrapText="1"/>
      <protection locked="0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0" fillId="13" borderId="37" xfId="0" applyFont="1" applyFill="1" applyBorder="1" applyAlignment="1">
      <alignment horizontal="center" vertical="center" wrapText="1"/>
    </xf>
    <xf numFmtId="0" fontId="10" fillId="14" borderId="37" xfId="0" applyFont="1" applyFill="1" applyBorder="1" applyAlignment="1" applyProtection="1">
      <alignment horizontal="center" vertical="center" wrapText="1"/>
      <protection locked="0"/>
    </xf>
    <xf numFmtId="0" fontId="8" fillId="13" borderId="37" xfId="0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19" fillId="0" borderId="23" xfId="0" applyFont="1" applyBorder="1" applyAlignment="1"/>
    <xf numFmtId="0" fontId="18" fillId="3" borderId="18" xfId="0" applyFont="1" applyFill="1" applyBorder="1" applyAlignment="1">
      <alignment horizontal="center" vertical="center" wrapText="1"/>
    </xf>
    <xf numFmtId="0" fontId="19" fillId="0" borderId="19" xfId="0" applyFont="1" applyBorder="1" applyAlignment="1"/>
    <xf numFmtId="0" fontId="19" fillId="0" borderId="20" xfId="0" applyFont="1" applyBorder="1" applyAlignment="1"/>
    <xf numFmtId="0" fontId="18" fillId="3" borderId="24" xfId="0" applyFont="1" applyFill="1" applyBorder="1" applyAlignment="1">
      <alignment horizontal="center" vertical="center" wrapText="1"/>
    </xf>
    <xf numFmtId="0" fontId="19" fillId="0" borderId="24" xfId="0" applyFont="1" applyBorder="1" applyAlignment="1"/>
    <xf numFmtId="0" fontId="19" fillId="0" borderId="34" xfId="0" applyFont="1" applyBorder="1" applyAlignment="1"/>
    <xf numFmtId="0" fontId="20" fillId="17" borderId="21" xfId="0" applyFont="1" applyFill="1" applyBorder="1" applyAlignment="1">
      <alignment horizontal="center" vertical="center" wrapText="1"/>
    </xf>
    <xf numFmtId="0" fontId="21" fillId="17" borderId="22" xfId="0" applyFont="1" applyFill="1" applyBorder="1" applyAlignment="1"/>
    <xf numFmtId="0" fontId="21" fillId="17" borderId="23" xfId="0" applyFont="1" applyFill="1" applyBorder="1" applyAlignment="1"/>
    <xf numFmtId="0" fontId="18" fillId="3" borderId="25" xfId="0" applyFont="1" applyFill="1" applyBorder="1" applyAlignment="1">
      <alignment horizontal="center" vertical="center" wrapText="1"/>
    </xf>
    <xf numFmtId="0" fontId="19" fillId="0" borderId="25" xfId="0" applyFont="1" applyBorder="1" applyAlignment="1"/>
    <xf numFmtId="0" fontId="19" fillId="0" borderId="36" xfId="0" applyFont="1" applyBorder="1" applyAlignment="1"/>
    <xf numFmtId="0" fontId="9" fillId="20" borderId="30" xfId="0" applyFont="1" applyFill="1" applyBorder="1" applyAlignment="1">
      <alignment horizontal="center" vertical="center" wrapText="1"/>
    </xf>
    <xf numFmtId="0" fontId="19" fillId="20" borderId="31" xfId="0" applyFont="1" applyFill="1" applyBorder="1" applyAlignment="1"/>
    <xf numFmtId="0" fontId="9" fillId="17" borderId="21" xfId="0" applyFont="1" applyFill="1" applyBorder="1" applyAlignment="1">
      <alignment horizontal="center" vertical="center" wrapText="1"/>
    </xf>
    <xf numFmtId="0" fontId="19" fillId="17" borderId="22" xfId="0" applyFont="1" applyFill="1" applyBorder="1" applyAlignment="1"/>
    <xf numFmtId="0" fontId="19" fillId="17" borderId="23" xfId="0" applyFont="1" applyFill="1" applyBorder="1" applyAlignment="1"/>
    <xf numFmtId="0" fontId="9" fillId="3" borderId="35" xfId="0" applyFont="1" applyFill="1" applyBorder="1" applyAlignment="1">
      <alignment horizontal="center" vertical="center" wrapText="1"/>
    </xf>
    <xf numFmtId="0" fontId="19" fillId="0" borderId="35" xfId="0" applyFont="1" applyBorder="1" applyAlignment="1"/>
    <xf numFmtId="0" fontId="9" fillId="16" borderId="21" xfId="0" applyFont="1" applyFill="1" applyBorder="1" applyAlignment="1">
      <alignment horizontal="center" vertical="center" wrapText="1"/>
    </xf>
    <xf numFmtId="0" fontId="19" fillId="16" borderId="23" xfId="0" applyFont="1" applyFill="1" applyBorder="1" applyAlignment="1"/>
    <xf numFmtId="0" fontId="9" fillId="10" borderId="21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7" borderId="15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1"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hitebook.pebmed.com.br/login/" TargetMode="External"/><Relationship Id="rId2" Type="http://schemas.openxmlformats.org/officeDocument/2006/relationships/hyperlink" Target="https://www10.goiania.go.gov.br/Internet/Login.aspx" TargetMode="External"/><Relationship Id="rId1" Type="http://schemas.openxmlformats.org/officeDocument/2006/relationships/hyperlink" Target="mailto:Draanakarlaalves7@gmail.com" TargetMode="External"/><Relationship Id="rId6" Type="http://schemas.openxmlformats.org/officeDocument/2006/relationships/hyperlink" Target="https://imd.shiftcloud.com.br/shift/lis/imd/elis/s01.iu.web.Login.cls" TargetMode="External"/><Relationship Id="rId5" Type="http://schemas.openxmlformats.org/officeDocument/2006/relationships/hyperlink" Target="http://10.0.0.99/ris/login" TargetMode="External"/><Relationship Id="rId4" Type="http://schemas.openxmlformats.org/officeDocument/2006/relationships/hyperlink" Target="https://web.wemeds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G1165"/>
  <sheetViews>
    <sheetView tabSelected="1" zoomScale="110" zoomScaleNormal="110" workbookViewId="0">
      <selection activeCell="C62" sqref="C62"/>
    </sheetView>
  </sheetViews>
  <sheetFormatPr defaultColWidth="14.390625" defaultRowHeight="15" x14ac:dyDescent="0.2"/>
  <cols>
    <col min="1" max="1" width="60.66796875" style="27" customWidth="1"/>
    <col min="2" max="2" width="60.66796875" style="28" customWidth="1"/>
    <col min="3" max="3" width="60.66796875" style="25" customWidth="1"/>
    <col min="4" max="4" width="60.66796875" style="37" customWidth="1"/>
    <col min="5" max="5" width="60.66796875" style="167" customWidth="1"/>
    <col min="6" max="6" width="54.8828125" style="167" customWidth="1"/>
    <col min="7" max="19" width="10.89453125" style="167" customWidth="1"/>
    <col min="20" max="16384" width="14.390625" style="167"/>
  </cols>
  <sheetData>
    <row r="1" spans="1:7" x14ac:dyDescent="0.2">
      <c r="A1" s="107" t="s">
        <v>0</v>
      </c>
      <c r="B1" s="58">
        <v>10</v>
      </c>
      <c r="D1" s="31"/>
      <c r="E1" s="41"/>
      <c r="F1" s="27"/>
      <c r="G1" s="171"/>
    </row>
    <row r="2" spans="1:7" x14ac:dyDescent="0.2">
      <c r="A2" s="108" t="s">
        <v>1</v>
      </c>
      <c r="B2" s="105">
        <v>10</v>
      </c>
      <c r="D2" s="33"/>
      <c r="E2" s="49"/>
      <c r="F2" s="27"/>
      <c r="G2" s="171"/>
    </row>
    <row r="3" spans="1:7" x14ac:dyDescent="0.2">
      <c r="A3" s="170" t="s">
        <v>2</v>
      </c>
      <c r="B3" s="60"/>
      <c r="C3" s="40"/>
      <c r="D3" s="61" t="s">
        <v>3</v>
      </c>
      <c r="E3" s="50"/>
      <c r="F3" s="59" t="s">
        <v>4</v>
      </c>
      <c r="G3" s="27"/>
    </row>
    <row r="4" spans="1:7" ht="27.75" x14ac:dyDescent="0.2">
      <c r="A4" s="109" t="s">
        <v>5</v>
      </c>
      <c r="B4" s="28" t="str">
        <f>"Tomar " &amp; ROUND(IF((B2*50)&lt;=1750, IF(((B2*50)/3)/(250/5)&lt;=12, ((B2*50)/3)/(250/5), 10), IF((1750/3)/(250/5)&lt;=12, (1750/3)/(250/5), 10)), 1) &amp; " mL por via oral de 8/8 horas por 7 a 10 dias."</f>
        <v>Tomar 3,3 mL por via oral de 8/8 horas por 7 a 10 dias.</v>
      </c>
      <c r="C4" s="39"/>
      <c r="D4" s="62" t="s">
        <v>6</v>
      </c>
      <c r="E4" s="53" t="str">
        <f>IF(B1&lt;0.9,"Administrar "&amp;ROUNDUP(B2*0.3,1)&amp;" mL por via oral de 24/24 horas. Por 10 dias.",IF(AND(B1&gt;=0.9,B1&lt;=0.11),"Administrar "&amp;ROUNDUP(B2*0.35,1)&amp;" mL por via oral de 24/24 horas. Por 10 dias.",IF(B1&gt;=1,IF(B2&lt;=15,"Administrar 3 mL por via oral de 24/24 horas. Por 10 dias.",IF(AND(B2&gt;15,B2&lt;=23),"Administrar 4,5 mL por via oral de 24/24 horas. Por 10 dias.",IF(AND(B2&gt;23,B2&lt;=40),"Administrar 6 mL por via oral de 24/24 horas. Por 10 dias.","Administrar 7,5 mL por via oral de 24/24 horas. Por 10 dias."))))))</f>
        <v>Administrar 3 mL por via oral de 24/24 horas. Por 10 dias.</v>
      </c>
      <c r="F4" s="51" t="s">
        <v>7</v>
      </c>
      <c r="G4" s="27"/>
    </row>
    <row r="5" spans="1:7" ht="41.25" x14ac:dyDescent="0.2">
      <c r="A5" s="57" t="s">
        <v>8</v>
      </c>
      <c r="B5" s="28" t="str">
        <f>"Tomar " &amp; ROUND(IF((B2*50)&lt;=1750, IF(((B2*50)/3)/(400/5)&lt;=12, ((B2*50)/3)/(400/5), 10), IF((1750/3)/(400/5)&lt;=12, (1750/3)/(400/5), 10)), 1) &amp; " mL por via oral de 8/8 horas por 7 a 10 dias."</f>
        <v>Tomar 2,1 mL por via oral de 8/8 horas por 7 a 10 dias.</v>
      </c>
      <c r="D5" s="59" t="s">
        <v>9</v>
      </c>
      <c r="E5" s="50"/>
      <c r="F5" s="51" t="s">
        <v>10</v>
      </c>
      <c r="G5" s="27"/>
    </row>
    <row r="6" spans="1:7" ht="27.75" x14ac:dyDescent="0.2">
      <c r="A6" s="57" t="s">
        <v>11</v>
      </c>
      <c r="B6" s="28" t="str">
        <f>"Tomar " &amp; ROUND(IF((B2*20)&lt;=1500, IF(((B2*20)/3)/(250/5)&lt;=10, ((B2*20)/3)/(250/5), 10), IF((1500/3)/(250/5)&lt;=10, (1500/3)/(250/5), 10)), 1) &amp; " mL por via oral de 8/8 horas por 7 a 10 dias."</f>
        <v>Tomar 1,3 mL por via oral de 8/8 horas por 7 a 10 dias.</v>
      </c>
      <c r="D6" s="62" t="s">
        <v>6</v>
      </c>
      <c r="E6" s="53" t="str">
        <f>"Oferecer "&amp;IF(B1&lt;0.3,"1,2",IF(AND(B1&gt;=0.3,B1&lt;=0.5),"2",IF(AND(B1&gt;=0.6,B1&lt;=0.11),"2,5",IF(B2&lt;=14,"3",IF(AND(B2&gt;14,B2&lt;=23),"4,5",IF(AND(B2&gt;23,B2&lt;=40),"6","7,5"))))))&amp;" mL de 12 em 12 horas, por 5 dias. Necessário 10 cápsulas ao total."</f>
        <v>Oferecer 3 mL de 12 em 12 horas, por 5 dias. Necessário 10 cápsulas ao total.</v>
      </c>
      <c r="F6" s="51" t="s">
        <v>12</v>
      </c>
      <c r="G6" s="27"/>
    </row>
    <row r="7" spans="1:7" ht="27.75" x14ac:dyDescent="0.2">
      <c r="A7" s="57" t="s">
        <v>13</v>
      </c>
      <c r="B7" s="28" t="str">
        <f>"Tomar " &amp; ROUND(IF((B2*25)&lt;=1750, IF(((B2*25)/2)/(400/5)&lt;=10, ((B2*25)/2)/(400/5), 10), IF((1750/2)/(400/5)&lt;=10, (1750/2)/(400/5), 10)), 1) &amp; " mL por via oral de 12/12 horas por 7 a 10 dias."</f>
        <v>Tomar 1,6 mL por via oral de 12/12 horas por 7 a 10 dias.</v>
      </c>
      <c r="D7" s="33"/>
      <c r="E7" s="49"/>
      <c r="F7" s="51" t="s">
        <v>14</v>
      </c>
      <c r="G7" s="27"/>
    </row>
    <row r="8" spans="1:7" ht="27.75" x14ac:dyDescent="0.2">
      <c r="A8" s="57" t="s">
        <v>15</v>
      </c>
      <c r="B8" s="28" t="str">
        <f>"Tomar " &amp; ROUND(IF((B2*90)&lt;=4000, IF(((B2*90)/2)/(600/5)&lt;=10, ((B2*90)/2)/(600/5), 10), IF((4000/2)/(600/5)&lt;=10, (4000/2)/(600/5), 10)), 1) &amp; " mL por via oral de 12/12 horas por 7 a 10 dias."</f>
        <v>Tomar 3,8 mL por via oral de 12/12 horas por 7 a 10 dias.</v>
      </c>
      <c r="D8" s="33"/>
      <c r="E8" s="49"/>
      <c r="F8" s="52" t="s">
        <v>16</v>
      </c>
      <c r="G8" s="27"/>
    </row>
    <row r="9" spans="1:7" x14ac:dyDescent="0.2">
      <c r="A9" s="57" t="s">
        <v>17</v>
      </c>
      <c r="B9" s="28" t="str">
        <f>"Tomar " &amp; ROUND(IF((B2*20)&lt;=1750, IF(((B2*20)/2)/(200/5)&lt;=12, ((B2*20)/2)/(200/5), 12), IF((1750/2)/(200/5)&lt;=12, (1750/2)/(200/5), 12)), 1) &amp; " mL por via oral de 12/12 horas por 7 a 10 dias."</f>
        <v>Tomar 2,5 mL por via oral de 12/12 horas por 7 a 10 dias.</v>
      </c>
      <c r="C9" s="35"/>
      <c r="D9" s="33"/>
      <c r="E9" s="92"/>
      <c r="F9" s="27"/>
      <c r="G9" s="171"/>
    </row>
    <row r="10" spans="1:7" x14ac:dyDescent="0.2">
      <c r="A10" s="57" t="s">
        <v>18</v>
      </c>
      <c r="B10" s="28" t="str">
        <f>IF(B2&lt;35,"Não se aplica","Tomar " &amp; ROUND(IF((B2*50)&lt;=1750, ((B2*50)/2)/875, (1750/2)/875), 1) &amp; " comprimidos por via oral de 12/12 horas por 7 dias.")</f>
        <v>Não se aplica</v>
      </c>
      <c r="D10" s="33"/>
      <c r="E10" s="146" t="s">
        <v>19</v>
      </c>
      <c r="F10" s="65" t="s">
        <v>20</v>
      </c>
      <c r="G10" s="171"/>
    </row>
    <row r="11" spans="1:7" x14ac:dyDescent="0.2">
      <c r="A11" s="57" t="s">
        <v>21</v>
      </c>
      <c r="B11" s="28" t="str">
        <f>"Tomar " &amp; ROUND(IF((B2*20)&lt;=1000, ((B2*20)/2)/(250/5), (1000/2)/(250/5)), 1) &amp; " mL por via oral de 12/12 horas por 7 a 10 dias."</f>
        <v>Tomar 2 mL por via oral de 12/12 horas por 7 a 10 dias.</v>
      </c>
      <c r="D11" s="125"/>
      <c r="E11" s="62" t="s">
        <v>22</v>
      </c>
      <c r="F11" s="95" t="s">
        <v>23</v>
      </c>
      <c r="G11" s="27"/>
    </row>
    <row r="12" spans="1:7" x14ac:dyDescent="0.2">
      <c r="A12" s="57" t="s">
        <v>24</v>
      </c>
      <c r="B12" s="28" t="str">
        <f>"Tomar " &amp; ROUND(IF((B2*20)&lt;=1000, ((B2*20)/2)/(250/5), (1000/2)/(250/5)), 1) &amp; " mL por via oral de 12/12 horas por 7 a 10 dias."</f>
        <v>Tomar 2 mL por via oral de 12/12 horas por 7 a 10 dias.</v>
      </c>
      <c r="D12" s="33"/>
      <c r="E12" s="49"/>
      <c r="F12" s="93" t="s">
        <v>25</v>
      </c>
      <c r="G12" s="27"/>
    </row>
    <row r="13" spans="1:7" x14ac:dyDescent="0.2">
      <c r="A13" s="57" t="s">
        <v>26</v>
      </c>
      <c r="B13" s="28" t="str">
        <f>"Tomar " &amp; ROUND(IF((B2*20)&lt;=1000, ((B2*20)/2)/(375/5), (1000/2)/(375/5)), 1) &amp; " mL por via oral de 12/12 horas por 7 a 10 dias."</f>
        <v>Tomar 1,3 mL por via oral de 12/12 horas por 7 a 10 dias.</v>
      </c>
      <c r="D13" s="33"/>
      <c r="E13" s="49"/>
      <c r="F13" s="93" t="s">
        <v>27</v>
      </c>
      <c r="G13" s="27"/>
    </row>
    <row r="14" spans="1:7" ht="68.25" x14ac:dyDescent="0.2">
      <c r="A14" s="57" t="s">
        <v>28</v>
      </c>
      <c r="B14" s="28" t="str">
        <f>"Tomar " &amp; ROUND(IF((B2*25)&lt;=2000, B2*25/50/4, 2000/50/4), 1) &amp; " mL por via oral de 6/6 horas ou " &amp; ROUND(IF((B2*25)&lt;=2000, B2*25/50/2, 2000/50/2), 1) &amp; " mL por via oral de 12/12 horas por 7 a 10 dias."</f>
        <v>Tomar 1,3 mL por via oral de 6/6 horas ou 2,5 mL por via oral de 12/12 horas por 7 a 10 dias.</v>
      </c>
      <c r="D14" s="33"/>
      <c r="E14" s="49"/>
      <c r="F14" s="93" t="s">
        <v>29</v>
      </c>
      <c r="G14" s="27"/>
    </row>
    <row r="15" spans="1:7" ht="41.25" x14ac:dyDescent="0.2">
      <c r="A15" s="57" t="s">
        <v>30</v>
      </c>
      <c r="B15" s="28" t="str">
        <f>"Tomar " &amp; ROUND(IF((B2*10)&lt;=1000, (B2*10)/(200/5), 1000/(200/5)), 1) &amp; " mL por via oral uma vez ao dia por 3 a 5 dias."</f>
        <v>Tomar 2,5 mL por via oral uma vez ao dia por 3 a 5 dias.</v>
      </c>
      <c r="D15" s="33"/>
      <c r="E15" s="49"/>
      <c r="F15" s="93" t="s">
        <v>31</v>
      </c>
      <c r="G15" s="27"/>
    </row>
    <row r="16" spans="1:7" ht="54.75" x14ac:dyDescent="0.2">
      <c r="A16" s="57" t="s">
        <v>32</v>
      </c>
      <c r="B16" s="28" t="str">
        <f>"Tomar " &amp; ROUND(IF((B2*7.5)&lt;=1000, IF(((B2*7.5)/2)/(125/5)&lt;=10, ((B2*7.5)/2)/(125/5), 10), IF((1000/2)/(125/5)&lt;=10, (1000/2)/(125/5), 10)), 1) &amp; " mL por via oral de 12/12 horas por 7 a 14 dias."</f>
        <v>Tomar 1,5 mL por via oral de 12/12 horas por 7 a 14 dias.</v>
      </c>
      <c r="D16" s="33"/>
      <c r="E16" s="49"/>
      <c r="F16" s="94" t="s">
        <v>33</v>
      </c>
      <c r="G16" s="27"/>
    </row>
    <row r="17" spans="1:6" x14ac:dyDescent="0.2">
      <c r="A17" s="57" t="s">
        <v>34</v>
      </c>
      <c r="B17" s="28" t="str">
        <f>"Tomar " &amp; ROUND(IF((B2*7.5)&lt;=1000, IF(((B2*7.5)/2)/(250/5)&lt;=10, ((B2*7.5)/2)/(250/5), 10), IF((1000/2)/(250/5)&lt;=10, (1000/2)/(250/5), 10)), 1) &amp; " mL por via oral de 12/12 horas por 7 a 14 dias."</f>
        <v>Tomar 0,8 mL por via oral de 12/12 horas por 7 a 14 dias.</v>
      </c>
      <c r="D17" s="33"/>
      <c r="E17" s="42"/>
      <c r="F17" s="27"/>
    </row>
    <row r="18" spans="1:6" x14ac:dyDescent="0.2">
      <c r="A18" s="110" t="s">
        <v>35</v>
      </c>
      <c r="B18" s="55" t="str">
        <f>"Tomar "&amp;ROUND((IF(B2*15&gt;1000,1000/2,(B2*15)/2)*5)/250,1)&amp;" mL por via oral de 12/12 horas por 5 a 7 dias."</f>
        <v>Tomar 1,5 mL por via oral de 12/12 horas por 5 a 7 dias.</v>
      </c>
      <c r="D18" s="33"/>
      <c r="E18" s="42"/>
      <c r="F18" s="27"/>
    </row>
    <row r="19" spans="1:6" x14ac:dyDescent="0.2">
      <c r="A19" s="104" t="s">
        <v>36</v>
      </c>
      <c r="B19" s="28" t="str">
        <f>"Tomar " &amp; ROUND(IF((B2*5)&lt;=100, IF(((B2*5)/4)/5&lt;=10, ((B2*5)/4)/5, 10), IF((100/4)/5&lt;=10, (100/4)/5, 10)), 1) &amp; " mL por via oral de 6/6 horas por 7 dias."</f>
        <v>Tomar 2,5 mL por via oral de 6/6 horas por 7 dias.</v>
      </c>
      <c r="D19" s="33"/>
      <c r="E19" s="41"/>
      <c r="F19" s="27"/>
    </row>
    <row r="20" spans="1:6" x14ac:dyDescent="0.2">
      <c r="A20" s="104" t="s">
        <v>37</v>
      </c>
      <c r="B20" s="28" t="str">
        <f>IF(B2&lt;28.6,"Não se aplica",IF((B2*7)&lt;=300,"Tomar 1 comprimido de 12/12 horas por 7 dias.",IF((B2*7)&lt;=400,"Tomar 1 comprimido de 8/8 horas por 7 dias.", "Tomar 1 comprimido de 6/6 horas por 7 dias.")))</f>
        <v>Não se aplica</v>
      </c>
      <c r="D20" s="33"/>
      <c r="E20" s="42"/>
      <c r="F20" s="27"/>
    </row>
    <row r="21" spans="1:6" x14ac:dyDescent="0.2">
      <c r="A21" s="57" t="s">
        <v>38</v>
      </c>
      <c r="B21" s="28" t="str">
        <f>"Tomar " &amp; ROUND(IF((B2*50)&lt;=1200, ((B2*50)/3)/(200/5), (1200/3)/(200/5)), 1) &amp; " mL por via oral de 8/8 horas por 7 a 10 dias."</f>
        <v>Tomar 4,2 mL por via oral de 8/8 horas por 7 a 10 dias.</v>
      </c>
      <c r="D21" s="33"/>
      <c r="E21" s="42"/>
      <c r="F21" s="27"/>
    </row>
    <row r="22" spans="1:6" x14ac:dyDescent="0.2">
      <c r="A22" s="57" t="s">
        <v>39</v>
      </c>
      <c r="B22" s="28" t="str">
        <f>"Tomar " &amp; ROUND(IF((B2*20)&lt;=1750, IF(((B2*20)/2)/(200/5)&lt;=15, ((B2*20)/2)/(200/5), 15), IF((1750/2)/(200/5)&lt;=15, (1750/2)/(200/5), 15)), 1) &amp; " mL por via oral de 12/12 horas por 7 a 10 dias."</f>
        <v>Tomar 2,5 mL por via oral de 12/12 horas por 7 a 10 dias.</v>
      </c>
      <c r="D22" s="31"/>
      <c r="E22" s="42"/>
      <c r="F22" s="27"/>
    </row>
    <row r="23" spans="1:6" x14ac:dyDescent="0.2">
      <c r="A23" s="57" t="s">
        <v>40</v>
      </c>
      <c r="B23" s="28" t="str">
        <f>"Tomar " &amp; ROUND(IF((B2*20)&lt;=1750, IF(((B2*20)/2)/(400/5)&lt;=10, ((B2*20)/2)/(400/5), 10), IF((1750/2)/(400/5)&lt;=10, (1750/2)/(400/5), 10)), 1) &amp; " mL por via oral de 12/12 horas por 7 a 10 dias."</f>
        <v>Tomar 1,3 mL por via oral de 12/12 horas por 7 a 10 dias.</v>
      </c>
      <c r="D23" s="31"/>
      <c r="E23" s="42"/>
      <c r="F23" s="27"/>
    </row>
    <row r="24" spans="1:6" x14ac:dyDescent="0.2">
      <c r="A24" s="57" t="s">
        <v>41</v>
      </c>
      <c r="B24" s="28" t="str">
        <f>"Tomar " &amp; ROUND(IF((B2*30)&lt;=1000, ((B2*30)/2)/(250/5), (1000/2)/(250/5)), 1) &amp; " mL por via oral de 12/12 horas por 7 a 10 dias."</f>
        <v>Tomar 3 mL por via oral de 12/12 horas por 7 a 10 dias.</v>
      </c>
      <c r="C24" s="27"/>
      <c r="D24" s="33"/>
      <c r="E24" s="42"/>
      <c r="F24" s="27"/>
    </row>
    <row r="25" spans="1:6" x14ac:dyDescent="0.2">
      <c r="A25" s="57" t="s">
        <v>42</v>
      </c>
      <c r="B25" s="28" t="str">
        <f>"Tomar " &amp; ROUND(IF((B2*30)&lt;=1000, ((B2*30)/2)/(500/5), (1000/2)/(500/5)), 1) &amp; " mL por via oral de 12/12 horas por 7 a 10 dias."</f>
        <v>Tomar 1,5 mL por via oral de 12/12 horas por 7 a 10 dias.</v>
      </c>
      <c r="D25" s="33"/>
      <c r="E25" s="42"/>
      <c r="F25" s="27"/>
    </row>
    <row r="26" spans="1:6" x14ac:dyDescent="0.2">
      <c r="A26" s="57" t="s">
        <v>43</v>
      </c>
      <c r="B26" s="55" t="str">
        <f>IF(B1&lt;0.4,"Contraindicado ", "Tomar "&amp;ROUNDUP((B2*13.75)/50,2)&amp;" mL por via oral de 6/6 horas. Por 7 a 14 dias.")</f>
        <v>Tomar 2,75 mL por via oral de 6/6 horas. Por 7 a 14 dias.</v>
      </c>
      <c r="D26" s="33"/>
      <c r="E26" s="42"/>
      <c r="F26" s="27"/>
    </row>
    <row r="27" spans="1:6" x14ac:dyDescent="0.2">
      <c r="A27" s="170" t="s">
        <v>44</v>
      </c>
      <c r="B27" s="60"/>
      <c r="C27" s="27"/>
      <c r="D27" s="33"/>
      <c r="E27" s="42"/>
      <c r="F27" s="27"/>
    </row>
    <row r="28" spans="1:6" x14ac:dyDescent="0.2">
      <c r="A28" s="57" t="s">
        <v>45</v>
      </c>
      <c r="B28" s="28" t="str">
        <f>"Tomar " &amp; ROUND(IF((B2*15)&lt;=500,(B2*15)/25,20),0) &amp; " gotas por via oral de 6/6 horas."</f>
        <v>Tomar 6 gotas por via oral de 6/6 horas.</v>
      </c>
      <c r="C28" s="27"/>
      <c r="D28" s="33"/>
      <c r="E28" s="42"/>
      <c r="F28" s="27"/>
    </row>
    <row r="29" spans="1:6" x14ac:dyDescent="0.2">
      <c r="A29" s="57" t="s">
        <v>46</v>
      </c>
      <c r="B29" s="28" t="str">
        <f>"Tomar " &amp; ROUND(IF((B2*15)&lt;=500, (B2*15)/50, 500/50), 1) &amp; " mL por via oral de 6/6 horas."</f>
        <v>Tomar 3 mL por via oral de 6/6 horas.</v>
      </c>
      <c r="C29" s="27"/>
      <c r="D29" s="33"/>
      <c r="E29" s="42"/>
      <c r="F29" s="27"/>
    </row>
    <row r="30" spans="1:6" x14ac:dyDescent="0.2">
      <c r="A30" s="57" t="s">
        <v>47</v>
      </c>
      <c r="B30" s="28" t="str">
        <f>"Administrar " &amp; ROUND(IF((B2*15)&lt;=1000, (B2*15)/500, 1000/500), 1) &amp; " mL por via EV ou IM a cada 6 horas."</f>
        <v>Administrar 0,3 mL por via EV ou IM a cada 6 horas.</v>
      </c>
      <c r="C30" s="125"/>
      <c r="D30" s="33"/>
      <c r="E30" s="41"/>
      <c r="F30" s="27"/>
    </row>
    <row r="31" spans="1:6" ht="27.75" x14ac:dyDescent="0.2">
      <c r="A31" s="57" t="s">
        <v>48</v>
      </c>
      <c r="B31" s="28" t="str">
        <f>"Administrar " &amp; ROUND(IF((B2*1)&lt;=100, (B2*1)/50, 100/50), 1) &amp; " mL por via EV diluido em 50 ml de SF 0,9% (Administrar bem lentamente), a cada 8 horas."</f>
        <v>Administrar 0,2 mL por via EV diluido em 50 ml de SF 0,9% (Administrar bem lentamente), a cada 8 horas.</v>
      </c>
      <c r="C31" s="27"/>
      <c r="D31" s="33"/>
      <c r="E31" s="42"/>
      <c r="F31" s="27"/>
    </row>
    <row r="32" spans="1:6" x14ac:dyDescent="0.2">
      <c r="A32" s="57" t="s">
        <v>49</v>
      </c>
      <c r="B32" s="28" t="str">
        <f>"Tomar " &amp; ROUND(IF((B2*1)&lt;=50,(B2*1)/2.5,20),0) &amp; " gotas por via oral de 8/8 horas. (Se dor muito forte)"</f>
        <v>Tomar 4 gotas por via oral de 8/8 horas. (Se dor muito forte)</v>
      </c>
      <c r="D32" s="33"/>
      <c r="E32" s="42"/>
      <c r="F32" s="27"/>
    </row>
    <row r="33" spans="1:6" x14ac:dyDescent="0.2">
      <c r="A33" s="57" t="s">
        <v>50</v>
      </c>
      <c r="B33" s="28" t="str">
        <f>"Tomar " &amp; ROUND(IF((B2*15)&lt;=1000, (B2*15)/25, 1000/25), 0) &amp; " gotas por via oral de 6/6 horas."</f>
        <v>Tomar 6 gotas por via oral de 6/6 horas.</v>
      </c>
      <c r="C33" s="27"/>
      <c r="D33" s="33"/>
      <c r="E33" s="42"/>
      <c r="F33" s="27"/>
    </row>
    <row r="34" spans="1:6" x14ac:dyDescent="0.2">
      <c r="A34" s="57" t="s">
        <v>51</v>
      </c>
      <c r="B34" s="28" t="str">
        <f>"Administrar " &amp; ROUND(IF((B2*15)&lt;=1000, (B2*15)/500, 1000/500), 1) &amp; " mL por via EV diluido em 50 ml de SF 0,9% a cada 6 horas."</f>
        <v>Administrar 0,3 mL por via EV diluido em 50 ml de SF 0,9% a cada 6 horas.</v>
      </c>
      <c r="D34" s="33"/>
      <c r="E34" s="42"/>
      <c r="F34" s="27"/>
    </row>
    <row r="35" spans="1:6" ht="27.75" x14ac:dyDescent="0.2">
      <c r="A35" s="57" t="s">
        <v>52</v>
      </c>
      <c r="B35" s="28" t="str">
        <f>"Tomar " &amp; ROUND(IF((B2*10)&lt;=350, (B2*10)/10, 350/10), 0) &amp; " gotas por via oral de 4/4 horas. (Não exceder 5 administrações por dia)"</f>
        <v>Tomar 10 gotas por via oral de 4/4 horas. (Não exceder 5 administrações por dia)</v>
      </c>
      <c r="D35" s="33"/>
      <c r="E35" s="41"/>
      <c r="F35" s="27"/>
    </row>
    <row r="36" spans="1:6" x14ac:dyDescent="0.2">
      <c r="A36" s="57" t="s">
        <v>53</v>
      </c>
      <c r="B36" s="28" t="str">
        <f>"Tomar " &amp; ROUND(IF((B2*10)&lt;=200,(B2*10)/5,200/5),0) &amp; " gotas por via oral de 6/6 horas. Por 3 a 5 dias."</f>
        <v>Tomar 20 gotas por via oral de 6/6 horas. Por 3 a 5 dias.</v>
      </c>
      <c r="D36" s="33"/>
      <c r="E36" s="42"/>
      <c r="F36" s="27"/>
    </row>
    <row r="37" spans="1:6" x14ac:dyDescent="0.2">
      <c r="A37" s="57" t="s">
        <v>54</v>
      </c>
      <c r="B37" s="28" t="str">
        <f>"Tomar " &amp; ROUND(IF((B2*10)&lt;=200,(B2*10)/10,200/10),0) &amp; " gotas por via oral de 6/6 horas. Por 3 a 5 dias."</f>
        <v>Tomar 10 gotas por via oral de 6/6 horas. Por 3 a 5 dias.</v>
      </c>
      <c r="D37" s="33"/>
      <c r="E37" s="42"/>
      <c r="F37" s="27"/>
    </row>
    <row r="38" spans="1:6" ht="27.75" x14ac:dyDescent="0.2">
      <c r="A38" s="57" t="s">
        <v>55</v>
      </c>
      <c r="B38" s="28" t="str">
        <f>"Administrar " &amp; ROUND(IF((B2*1)&lt;=100, (B2*1)/50, 100/50), 1) &amp; " mL por via IM ou (EV diluido em 50 ml de SF 0,9%), a cada 12 horas."</f>
        <v>Administrar 0,2 mL por via IM ou (EV diluido em 50 ml de SF 0,9%), a cada 12 horas.</v>
      </c>
      <c r="D38" s="33"/>
      <c r="E38" s="42"/>
      <c r="F38" s="27"/>
    </row>
    <row r="39" spans="1:6" x14ac:dyDescent="0.2">
      <c r="A39" s="57" t="s">
        <v>56</v>
      </c>
      <c r="B39" s="28" t="str">
        <f>"Tomar " &amp; ROUND(IF(B2&lt;=40, IF((B2*1)&lt;=((B2*2)/2), (B2*1), (B2*2)/2), IF((90/3)&lt;=((B2*1)), (90/3), (B2*1))),1) &amp; " gotas por via oral " &amp; IF(B2&lt;=40," de 12/12 horas. Por 3 a 5 dias."," de 8/8 horas. Por 3 a 5 dias.")</f>
        <v>Tomar 10 gotas por via oral  de 12/12 horas. Por 3 a 5 dias.</v>
      </c>
      <c r="D39" s="33"/>
      <c r="E39" s="41"/>
      <c r="F39" s="27"/>
    </row>
    <row r="40" spans="1:6" x14ac:dyDescent="0.2">
      <c r="A40" s="57" t="s">
        <v>57</v>
      </c>
      <c r="B40" s="28" t="str">
        <f>"Tomar " &amp; ROUND(IF((B2*0.75)&lt;=30,(B2*0.75)/0.75,40),0) &amp; " gotas por via oral de 8/8 horas. Por 3 a 5 dias."</f>
        <v>Tomar 10 gotas por via oral de 8/8 horas. Por 3 a 5 dias.</v>
      </c>
      <c r="D40" s="33"/>
      <c r="E40" s="42"/>
      <c r="F40" s="27"/>
    </row>
    <row r="41" spans="1:6" x14ac:dyDescent="0.2">
      <c r="A41" s="57" t="s">
        <v>58</v>
      </c>
      <c r="B41" s="28" t="str">
        <f>"Tomar " &amp; ROUND(IF((B2*2)&lt;=100,(B2*2)/2.5,40),0) &amp; " gotas por via oral de 12/12 horas. Por 3 a 5 dias."</f>
        <v>Tomar 8 gotas por via oral de 12/12 horas. Por 3 a 5 dias.</v>
      </c>
      <c r="D41" s="33"/>
      <c r="E41" s="42"/>
      <c r="F41" s="27"/>
    </row>
    <row r="42" spans="1:6" x14ac:dyDescent="0.2">
      <c r="A42" s="170" t="s">
        <v>59</v>
      </c>
      <c r="B42" s="60"/>
      <c r="D42" s="33"/>
      <c r="E42" s="42"/>
      <c r="F42" s="27"/>
    </row>
    <row r="43" spans="1:6" x14ac:dyDescent="0.2">
      <c r="A43" s="57" t="s">
        <v>60</v>
      </c>
      <c r="B43" s="28" t="str">
        <f>"Tomar " &amp; IF(ROUND(IF((B2*0.2)&lt;=4,(B2*0.2)/4,1),1)&lt;0.5,0.5,ROUND(IF((B2*0.2)&lt;=4,(B2*0.2)/4,1),1)) &amp; " Filme por via oral de 8/8 horas."</f>
        <v>Tomar 0,5 Filme por via oral de 8/8 horas.</v>
      </c>
      <c r="D43" s="33"/>
      <c r="E43" s="42"/>
      <c r="F43" s="27"/>
    </row>
    <row r="44" spans="1:6" x14ac:dyDescent="0.2">
      <c r="A44" s="57" t="s">
        <v>61</v>
      </c>
      <c r="B44" s="28" t="str">
        <f>"Tomar " &amp; ROUND(IF((B2*0.1)&lt;=4,B2*0.1,4)/0.8,1) &amp; " mL por via oral de 8/8 horas."</f>
        <v>Tomar 1,3 mL por via oral de 8/8 horas.</v>
      </c>
      <c r="D44" s="33"/>
      <c r="E44" s="42"/>
      <c r="F44" s="27"/>
    </row>
    <row r="45" spans="1:6" x14ac:dyDescent="0.2">
      <c r="A45" s="57" t="s">
        <v>62</v>
      </c>
      <c r="B45" s="28" t="str">
        <f>"Tomar " &amp;ROUND(IF(B2&lt;=20, B2, 20), 0) &amp; " gotas por via oral de 8/8 horas."</f>
        <v>Tomar 10 gotas por via oral de 8/8 horas.</v>
      </c>
      <c r="D45" s="33"/>
      <c r="E45" s="42"/>
      <c r="F45" s="27"/>
    </row>
    <row r="46" spans="1:6" x14ac:dyDescent="0.2">
      <c r="A46" s="57" t="s">
        <v>63</v>
      </c>
      <c r="B46" s="28" t="str">
        <f>"Tomar " &amp; ROUND(IF((B2*0.15)&lt;=10/3, (B2*0.15)/0.2, (10/3)/0.2), 0) &amp; " gotas por via oral de 8/8 horas."</f>
        <v>Tomar 8 gotas por via oral de 8/8 horas.</v>
      </c>
      <c r="D46" s="33"/>
      <c r="E46" s="42"/>
      <c r="F46" s="27"/>
    </row>
    <row r="47" spans="1:6" x14ac:dyDescent="0.2">
      <c r="A47" s="57" t="s">
        <v>64</v>
      </c>
      <c r="B47" s="28" t="str">
        <f>"Tomar " &amp; ROUND(IF(B1&lt;=6,IF((B2*1)&lt;=15,B2*1,15),IF(B1&lt;=12,IF((B2*1)&lt;=30,B2*1,30),IF((B2*1)&lt;=80,B2*1,80))),0) &amp; " gotas por via oral de 6/6 horas."</f>
        <v>Tomar 10 gotas por via oral de 6/6 horas.</v>
      </c>
      <c r="C47" s="27"/>
      <c r="D47" s="33"/>
      <c r="E47" s="42"/>
      <c r="F47" s="27"/>
    </row>
    <row r="48" spans="1:6" ht="15.75" customHeight="1" x14ac:dyDescent="0.2">
      <c r="A48" s="57" t="s">
        <v>65</v>
      </c>
      <c r="B48" s="28" t="str">
        <f>"Tomar " &amp; ROUND(IF((B2*0.3)&lt;=10,B2*0.3,10),1) &amp; " mL por via oral 30 minutos antes das refeições de 8/8 horas."</f>
        <v>Tomar 3 mL por via oral 30 minutos antes das refeições de 8/8 horas.</v>
      </c>
      <c r="C48" s="27"/>
      <c r="D48" s="33"/>
      <c r="E48" s="42"/>
      <c r="F48" s="27"/>
    </row>
    <row r="49" spans="1:6" ht="27.75" x14ac:dyDescent="0.2">
      <c r="A49" s="110" t="s">
        <v>66</v>
      </c>
      <c r="B49" s="28" t="str">
        <f>"Reconstituir "&amp;ROUNDUP(IF(B2*1&gt;40,40,B2*1)/40,0)&amp;" frasco(s) com 10 mL de diluente. Administrar "&amp;ROUND(IF(B2*1&gt;40,40,B2*1)/4,1)&amp;" mL EV uma vez ao dia."</f>
        <v>Reconstituir 1 frasco(s) com 10 mL de diluente. Administrar 2,5 mL EV uma vez ao dia.</v>
      </c>
      <c r="C49" s="27"/>
      <c r="D49" s="33"/>
      <c r="E49" s="42"/>
      <c r="F49" s="27"/>
    </row>
    <row r="50" spans="1:6" x14ac:dyDescent="0.2">
      <c r="A50" s="57" t="s">
        <v>67</v>
      </c>
      <c r="B50" s="28" t="str">
        <f>"Tomar " &amp; ROUND(IF((B2*1)&lt;=40, B2*1, 40)/4, 1) &amp; " mL por via oral ou SNG em dose única pela manhã."</f>
        <v>Tomar 2,5 mL por via oral ou SNG em dose única pela manhã.</v>
      </c>
      <c r="C50" s="27"/>
      <c r="D50" s="33"/>
      <c r="E50" s="42"/>
      <c r="F50" s="27"/>
    </row>
    <row r="51" spans="1:6" x14ac:dyDescent="0.2">
      <c r="A51" s="57" t="s">
        <v>68</v>
      </c>
      <c r="B51" s="28" t="str">
        <f>IF(B1&gt;=12," Tomar 13 gotas por via oral de 8/8 horas. Por 3 a 5 dias.",IF(B1&lt;1," Tomar de 3 a 5 gotas por via oral de 8/8 horas. Por 3 a 5 dias.", " Tomar de 5 a 10 gotas por via oral de 8/8 horas. Por 3 a 5 dias."))</f>
        <v xml:space="preserve"> Tomar de 5 a 10 gotas por via oral de 8/8 horas. Por 3 a 5 dias.</v>
      </c>
      <c r="C51" s="27"/>
      <c r="D51" s="33"/>
      <c r="E51" s="42"/>
      <c r="F51" s="27"/>
    </row>
    <row r="52" spans="1:6" x14ac:dyDescent="0.2">
      <c r="A52" s="57" t="s">
        <v>69</v>
      </c>
      <c r="B52" s="28" t="str">
        <f>IF(B2&lt;=4,"Tomar 0,5 mL por via oral de 12/12 horas.",
IF(B2&lt;=7,"Tomar 1 mL por via oral de 12/12 horas.",
IF(B2&lt;=10,"Tomar 1,5 mL por via oral de 12/12 horas.",
IF(B2&lt;=13,"Tomar 2 mL por via oral de 12/12 horas.",
IF(B2&lt;=16,"Tomar 2,5 mL por via oral de 12/12 horas.",
IF(B2&lt;=19,"Tomar 3 mL por via oral de 12/12 horas.",
IF(B2&lt;=22,"Tomar 3,5 mL por via oral de 12/12 horas.",
IF(B2&lt;=25,"Tomar 4 mL por via oral de 12/12 horas.",
IF(B2&lt;=28,"Tomar 4,5 mL por via oral de 12/12 horas.",
IF(B2&lt;=31,"Tomar 5 mL por via oral de 12/12 horas.",
IF(B2&lt;=34,"Tomar 5,5 mL por via oral de 12/12 horas.",
IF(B2&lt;=37,"Tomar 6 mL por via oral de 12/12 horas.",
IF(B2&lt;=40,"Tomar 6,5 mL por via oral de 12/12 horas.",
"Tomar 7 mL por via oral de 12/12 horas.")))))))))))))</f>
        <v>Tomar 1,5 mL por via oral de 12/12 horas.</v>
      </c>
      <c r="C52" s="27"/>
      <c r="D52" s="33"/>
      <c r="E52" s="41"/>
      <c r="F52" s="27"/>
    </row>
    <row r="53" spans="1:6" x14ac:dyDescent="0.2">
      <c r="A53" s="57" t="s">
        <v>70</v>
      </c>
      <c r="B53" s="28" t="str">
        <f>"Tomar " &amp; ROUND(IF((B2*1)&lt;=90/3,(B2*1)/0.75,(90/3)/0.75),0) &amp; " gotas por via oral de 8/8 horas."</f>
        <v>Tomar 13 gotas por via oral de 8/8 horas.</v>
      </c>
      <c r="C53" s="27"/>
      <c r="D53" s="33"/>
      <c r="E53" s="42"/>
      <c r="F53" s="27"/>
    </row>
    <row r="54" spans="1:6" ht="27.75" x14ac:dyDescent="0.2">
      <c r="A54" s="57" t="s">
        <v>71</v>
      </c>
      <c r="B54" s="28" t="str">
        <f>"Misturar " &amp; ROUND(IF((B2*1)&lt;=50, B2*1, 50), 0) &amp; " g com " &amp; ROUND(IF((B2*1)&lt;=50, B2*1, 50)/25*50, 0) &amp; " mL de água para formar uma suspensão. Administrar por VO ou SNG."</f>
        <v>Misturar 10 g com 20 mL de água para formar uma suspensão. Administrar por VO ou SNG.</v>
      </c>
      <c r="D54" s="33"/>
      <c r="E54" s="42"/>
      <c r="F54" s="27"/>
    </row>
    <row r="55" spans="1:6" ht="27.75" x14ac:dyDescent="0.2">
      <c r="A55" s="57" t="s">
        <v>72</v>
      </c>
      <c r="B55" s="28" t="str">
        <f>"Administrar " &amp; ROUND(IF((B2*0.2)&lt;=4,B2*0.2,4)/2,1) &amp; " mL por via IM ou (EV diluido em 50 mL de SF 0,9% ou SG 5%) a cada 8 horas"</f>
        <v>Administrar 1 mL por via IM ou (EV diluido em 50 mL de SF 0,9% ou SG 5%) a cada 8 horas</v>
      </c>
      <c r="D55" s="33"/>
      <c r="E55" s="42"/>
      <c r="F55" s="27"/>
    </row>
    <row r="56" spans="1:6" ht="27.75" x14ac:dyDescent="0.2">
      <c r="A56" s="57" t="s">
        <v>73</v>
      </c>
      <c r="B56" s="28" t="str">
        <f>"Administrar " &amp; ROUNDUP(IF((B2*0.2)&lt;=20, IF(((B2*0.2)/1)/(5/1)&lt;=4, ((B2*0.2)/1)/(5/1), 4), IF((20/1)/(5/1)&lt;=4, (20/1)/(5/1), 20)), 1) &amp; " mL por via EV diluido em 50 mL de SF 0,9% ou SG 5% a cada 8 horas"</f>
        <v>Administrar 0,4 mL por via EV diluido em 50 mL de SF 0,9% ou SG 5% a cada 8 horas</v>
      </c>
      <c r="D56" s="33"/>
      <c r="E56" s="42"/>
      <c r="F56" s="27"/>
    </row>
    <row r="57" spans="1:6" x14ac:dyDescent="0.2">
      <c r="A57" s="57" t="s">
        <v>74</v>
      </c>
      <c r="B57" s="28" t="str">
        <f>"Administrar " &amp; ROUNDUP(IF((B2*0.15)&lt;=10,B2*0.15,10)/5,1) &amp; " mL + 50 ml de SF 0,9% ou SG 5% por via EV a cada 8 horas."</f>
        <v>Administrar 0,3 mL + 50 ml de SF 0,9% ou SG 5% por via EV a cada 8 horas.</v>
      </c>
      <c r="D57" s="33"/>
      <c r="E57" s="42"/>
      <c r="F57" s="27"/>
    </row>
    <row r="58" spans="1:6" ht="27.75" x14ac:dyDescent="0.2">
      <c r="A58" s="57" t="s">
        <v>75</v>
      </c>
      <c r="B58" s="28" t="str">
        <f>"Administrar " &amp;ROUND(IF((B2*1.25)&lt;=270/3, IF(((B2*1.25)/30)*10&lt;=90, ((B2*1.25)/30)*10, 90), (270/3)/30*10), 1) &amp; " mL por via EV diluido em 50 mL de SF 0,9% ou SG 5% a cada 8 horas."</f>
        <v>Administrar 4,2 mL por via EV diluido em 50 mL de SF 0,9% ou SG 5% a cada 8 horas.</v>
      </c>
      <c r="D58" s="33"/>
      <c r="E58" s="41"/>
      <c r="F58" s="27"/>
    </row>
    <row r="59" spans="1:6" x14ac:dyDescent="0.2">
      <c r="A59" s="57" t="s">
        <v>76</v>
      </c>
      <c r="B59" s="28" t="str">
        <f>"Administrar " &amp;ROUNDUP(IF((B2*0.025)&lt;=1, B2*0.025, 1), 1) &amp; " mL por via IM a cada 8 horas."</f>
        <v>Administrar 0,3 mL por via IM a cada 8 horas.</v>
      </c>
      <c r="D59" s="33"/>
      <c r="E59" s="42"/>
      <c r="F59" s="27"/>
    </row>
    <row r="60" spans="1:6" x14ac:dyDescent="0.2">
      <c r="A60" s="57" t="s">
        <v>77</v>
      </c>
      <c r="B60" s="28" t="str">
        <f>"Administrar " &amp;ROUND(IF(B2 / 20 &gt; 2, 2, B2 / 20), 1) &amp; " mL por via EV a cada 12 horas"</f>
        <v>Administrar 0,5 mL por via EV a cada 12 horas</v>
      </c>
      <c r="D60" s="33"/>
      <c r="E60" s="42"/>
      <c r="F60" s="27"/>
    </row>
    <row r="61" spans="1:6" x14ac:dyDescent="0.2">
      <c r="A61" s="170" t="s">
        <v>78</v>
      </c>
      <c r="B61" s="60"/>
      <c r="D61" s="33"/>
      <c r="E61" s="42"/>
      <c r="F61" s="27"/>
    </row>
    <row r="62" spans="1:6" x14ac:dyDescent="0.2">
      <c r="A62" s="57" t="s">
        <v>79</v>
      </c>
      <c r="B62" s="28" t="str">
        <f>"Tomar " &amp;ROUND(IF(B2&lt;=40, IF((B2*0.7)&lt;=((B2*2)/3), IF((B2*0.7)/2&lt;=12.5, (B2*0.7)/2, 12.5), IF((B2*2)/6&lt;=12.5, (B2*2)/6, 12.5)), IF((B2*0.7)&lt;=100/3, IF((B2*0.7)/2&lt;=12.5, (B2*0.7)/2, 12.5), IF(100/6&lt;=12.5, 100/6, 12.5))), 1) &amp; " mL por via oral de 8/8 horas."</f>
        <v>Tomar 3,3 mL por via oral de 8/8 horas.</v>
      </c>
      <c r="D62" s="33"/>
      <c r="E62" s="42"/>
      <c r="F62" s="27"/>
    </row>
    <row r="63" spans="1:6" x14ac:dyDescent="0.2">
      <c r="A63" s="57" t="s">
        <v>80</v>
      </c>
      <c r="B63" s="28" t="str">
        <f>"Tomar " &amp;ROUND(IF(B1&lt;=0.92, 2, IF(B1&lt;=5, 2.5, IF(B1&lt;=11, 5, 10))), 1) &amp; " mL por via oral uma vez ao dia."</f>
        <v>Tomar 5 mL por via oral uma vez ao dia.</v>
      </c>
      <c r="D63" s="33"/>
      <c r="E63" s="34"/>
      <c r="F63" s="27"/>
    </row>
    <row r="64" spans="1:6" x14ac:dyDescent="0.2">
      <c r="A64" s="57" t="s">
        <v>81</v>
      </c>
      <c r="B64" s="28" t="str">
        <f>"Tomar " &amp;ROUND(IF(B1&lt;=2, 2.5, IF(B1&lt;=11, 5, 5)), 1) &amp; " mL por via oral de 12/12 horas."</f>
        <v>Tomar 5 mL por via oral de 12/12 horas.</v>
      </c>
      <c r="D64" s="33"/>
      <c r="E64" s="34"/>
      <c r="F64" s="27"/>
    </row>
    <row r="65" spans="1:6" x14ac:dyDescent="0.2">
      <c r="A65" s="57" t="s">
        <v>82</v>
      </c>
      <c r="B65" s="28" t="str">
        <f>"Tomar " &amp; ROUND(IF(B2*0.1&lt;=3,(B2*0.1)/(2/5),3/(2/5)),1) &amp; " mL por via oral de 8/8 horas."</f>
        <v>Tomar 2,5 mL por via oral de 8/8 horas.</v>
      </c>
      <c r="D65" s="33"/>
      <c r="E65" s="34"/>
      <c r="F65" s="27"/>
    </row>
    <row r="66" spans="1:6" x14ac:dyDescent="0.2">
      <c r="A66" s="57" t="s">
        <v>83</v>
      </c>
      <c r="B66" s="28" t="str">
        <f>"Tomar " &amp; ROUND(IF(B2*0.2&lt;=5,B2*0.2,5)/1,1) &amp; " mL por via oral, uma vez ao dia."</f>
        <v>Tomar 2 mL por via oral, uma vez ao dia.</v>
      </c>
      <c r="D66" s="33"/>
      <c r="E66" s="32"/>
      <c r="F66" s="27"/>
    </row>
    <row r="67" spans="1:6" ht="15.75" customHeight="1" x14ac:dyDescent="0.2">
      <c r="A67" s="57" t="s">
        <v>84</v>
      </c>
      <c r="B67" s="28" t="str">
        <f>"Tomar " &amp; ROUND(IF(B2*0.1&lt;=3,(B2*0.1)/(2/5),3/(2/5)),1) &amp; " mL por via oral de 8/8 horas."</f>
        <v>Tomar 2,5 mL por via oral de 8/8 horas.</v>
      </c>
      <c r="D67" s="33"/>
      <c r="E67" s="34"/>
      <c r="F67" s="27"/>
    </row>
    <row r="68" spans="1:6" x14ac:dyDescent="0.2">
      <c r="A68" s="57" t="s">
        <v>85</v>
      </c>
      <c r="B68" s="28" t="str">
        <f>"Administrar " &amp;ROUND(IF(((B2*0.3)/25)&lt;=2, (B2*0.3)/25, 2), 1) &amp; " mL por via IM a cada 6 horas."</f>
        <v>Administrar 0,1 mL por via IM a cada 6 horas.</v>
      </c>
      <c r="D68" s="33"/>
      <c r="E68" s="34"/>
      <c r="F68" s="27"/>
    </row>
    <row r="69" spans="1:6" x14ac:dyDescent="0.2">
      <c r="A69" s="57" t="s">
        <v>86</v>
      </c>
      <c r="B69" s="28" t="str">
        <f>"Administrar " &amp;ROUND(IF(B2*0.03 &lt;= 300/3/50, B2*0.03, 300/3/50), 1) &amp; " mL por via IM a cada 8 horas."</f>
        <v>Administrar 0,3 mL por via IM a cada 8 horas.</v>
      </c>
      <c r="D69" s="33"/>
      <c r="E69" s="34"/>
      <c r="F69" s="27"/>
    </row>
    <row r="70" spans="1:6" x14ac:dyDescent="0.2">
      <c r="A70" s="170" t="s">
        <v>87</v>
      </c>
      <c r="B70" s="60"/>
      <c r="D70" s="33"/>
      <c r="E70" s="34"/>
      <c r="F70" s="27"/>
    </row>
    <row r="71" spans="1:6" x14ac:dyDescent="0.2">
      <c r="A71" s="57" t="s">
        <v>88</v>
      </c>
      <c r="B71" s="28" t="str">
        <f>"Tomar " &amp; ROUND(IF((B2*1)&lt;=40, IF(((B2*1)/1)/(3/1)&lt;=14, ((B2*1)/1)/(3/1), 14), IF((40/1)/(3/1)&lt;=14, (40/1)/(3/1), 14)), 1) &amp; " mL por via oral de 24/24 horas. Por 5 dias."</f>
        <v>Tomar 3,3 mL por via oral de 24/24 horas. Por 5 dias.</v>
      </c>
      <c r="D71" s="33"/>
      <c r="E71" s="34"/>
      <c r="F71" s="27"/>
    </row>
    <row r="72" spans="1:6" x14ac:dyDescent="0.2">
      <c r="A72" s="111" t="s">
        <v>89</v>
      </c>
      <c r="B72" s="43" t="str">
        <f>"Tomar " &amp; ROUND(IF((B2*0.025)&lt;=12, IF(((B2*0.025)/1)/(0.5/5)&lt;=15, ((B2*0.025)/1)/(0.5/5), 15), IF((12/3)/(0.5/5)&lt;=15, (12/3)/(0.5/5), 15)), 1) &amp; " mL por via oral de 24/24 horas. Por 5 dias."</f>
        <v>Tomar 2,5 mL por via oral de 24/24 horas. Por 5 dias.</v>
      </c>
      <c r="D72" s="33"/>
      <c r="E72" s="32"/>
      <c r="F72" s="27"/>
    </row>
    <row r="73" spans="1:6" x14ac:dyDescent="0.2">
      <c r="A73" s="170" t="s">
        <v>90</v>
      </c>
      <c r="B73" s="60"/>
      <c r="C73" s="27"/>
      <c r="D73" s="33"/>
      <c r="E73" s="34"/>
      <c r="F73" s="27"/>
    </row>
    <row r="74" spans="1:6" ht="27.75" x14ac:dyDescent="0.2">
      <c r="A74" s="57" t="s">
        <v>91</v>
      </c>
      <c r="B74" s="28" t="str">
        <f>"Reconstituir "&amp;ROUNDUP(IF((B2*4)/100&lt;1,1,(B2*4)/100),0)&amp;" frasco(s) com "&amp;ROUND(IF((B2*4)/100&lt;1,1,(B2*4)/100),0)*2&amp;" mL de AD. Administrar "&amp;ROUND(IF((B2*4)&lt;=8*B2,(B2*4)/50,(8*B2)/50),1)&amp;" mL por via IM ou EV diluído em 50 mL de SF 0,9% ou SG 5% a cada 6 horas."</f>
        <v>Reconstituir 1 frasco(s) com 2 mL de AD. Administrar 0,8 mL por via IM ou EV diluído em 50 mL de SF 0,9% ou SG 5% a cada 6 horas.</v>
      </c>
      <c r="D74" s="33"/>
      <c r="E74" s="34"/>
      <c r="F74" s="27"/>
    </row>
    <row r="75" spans="1:6" ht="27.75" x14ac:dyDescent="0.2">
      <c r="A75" s="57" t="s">
        <v>92</v>
      </c>
      <c r="B75" s="28" t="str">
        <f>"Reconstituir "&amp;ROUND(IF((B2*4)/500&lt;1,1,(B2*4)/500),0)&amp;" frasco(s) com "&amp;ROUND(IF((B2*4)/500&lt;1,1,(B2*4)/500),0)*5&amp;" mL de AD. Administrar "&amp;ROUNDUP(IF((B2*4)&lt;=8*B2,(B2*4)/100,(8*B2)/100),1)&amp;" mL por via IM ou (EV diluído em 50 mL de SF 0,9% ou SG 5%), a cada 6 horas."</f>
        <v>Reconstituir 1 frasco(s) com 5 mL de AD. Administrar 0,4 mL por via IM ou (EV diluído em 50 mL de SF 0,9% ou SG 5%), a cada 6 horas.</v>
      </c>
      <c r="D75" s="33"/>
      <c r="E75" s="34"/>
      <c r="F75" s="27"/>
    </row>
    <row r="76" spans="1:6" ht="41.25" x14ac:dyDescent="0.2">
      <c r="A76" s="57" t="s">
        <v>93</v>
      </c>
      <c r="B76" s="28" t="str">
        <f>"Reconstituir "&amp;ROUND(IF((B2*1)/125&lt;1,1,(B2*1)/125),0)&amp;" frasco(s) com "&amp;ROUND(IF((B2*1)/125&lt;1,1,(B2*1)/125),0)*2&amp;" mL de AD. Administrar "&amp;ROUNDUP(IF((B2*1)&lt;=125,(B2*1)/62.5,125/62.5),1)&amp;" mL por via IM ou (EV diluído em 50 mL de SF 0,9% ou SG 5%), a cada 6 horas. (Correr em 30 minutos)."</f>
        <v>Reconstituir 1 frasco(s) com 2 mL de AD. Administrar 0,2 mL por via IM ou (EV diluído em 50 mL de SF 0,9% ou SG 5%), a cada 6 horas. (Correr em 30 minutos).</v>
      </c>
      <c r="C76" s="126"/>
      <c r="D76" s="33"/>
      <c r="E76" s="34"/>
      <c r="F76" s="27"/>
    </row>
    <row r="77" spans="1:6" ht="41.25" x14ac:dyDescent="0.2">
      <c r="A77" s="86" t="s">
        <v>94</v>
      </c>
      <c r="B77" s="55" t="str">
        <f>"Dose de ataque:  " &amp; ROUND(IF(B2 * 1.5 / 40 &lt;= 1, B2 * 1.5 / 40, 1), 2) &amp; " ML + " &amp; ROUND(10 - IF(B2 * 1.5 / 40 &lt;= 1, B2 * 1.5 / 40, 1), 2) &amp; " mL de SF 0,9%, Administrar por via EV em infusão lenta | Dose de manutençao: " &amp; ROUND(IF(B2 * 0.75 / 40 &lt;= 1, B2 * 0.75 / 40, 1), 2) &amp; " ML + " &amp; ROUND(10 - IF(B2 * 0.75 / 40 &lt;= 1, B2 * 0.75 / 40, 1), 2) &amp; " mL de SF 0,9%, Administrar por via EV em infusão lenta. A cada 6/6 horas."</f>
        <v>Dose de ataque:  0,38 ML + 9,63 mL de SF 0,9%, Administrar por via EV em infusão lenta | Dose de manutençao: 0,19 ML + 9,81 mL de SF 0,9%, Administrar por via EV em infusão lenta. A cada 6/6 horas.</v>
      </c>
      <c r="C77" s="126"/>
      <c r="D77" s="33"/>
      <c r="E77" s="34"/>
      <c r="F77" s="27"/>
    </row>
    <row r="78" spans="1:6" ht="41.25" x14ac:dyDescent="0.2">
      <c r="A78" s="57" t="s">
        <v>95</v>
      </c>
      <c r="B78" s="55" t="str">
        <f>"Administrar " &amp; ROUNDUP(IF(B2*25&lt;=2000,B2*25,2000)/500,1) &amp; " mL diluído em " &amp; IF(B2*25&lt;=2000,"60","100") &amp; " mL de SF 0,9%. Administrar por via EV em infusão lenta por 30 minutos. (Necessita de internação para realização deste medicamento)."</f>
        <v>Administrar 0,5 mL diluído em 60 mL de SF 0,9%. Administrar por via EV em infusão lenta por 30 minutos. (Necessita de internação para realização deste medicamento).</v>
      </c>
      <c r="C78" s="48"/>
      <c r="D78" s="33"/>
      <c r="E78" s="34"/>
      <c r="F78" s="27"/>
    </row>
    <row r="79" spans="1:6" ht="41.25" x14ac:dyDescent="0.2">
      <c r="A79" s="110" t="s">
        <v>96</v>
      </c>
      <c r="B79" s="55" t="str">
        <f>"Administrar " &amp; ROUNDUP(IF(B2*25&lt;=2000,B2*25,2000)/100,1) &amp; " mL  diluído em " &amp; IF(B2*25&lt;=2000,"60","100") &amp; " mL de SF 0,9%. Administrar por via EV em infusão lenta por 30 minutos. (Necessita de internação para realização deste medicamento)."</f>
        <v>Administrar 2,5 mL  diluído em 60 mL de SF 0,9%. Administrar por via EV em infusão lenta por 30 minutos. (Necessita de internação para realização deste medicamento).</v>
      </c>
      <c r="C79" s="35"/>
      <c r="D79" s="33"/>
      <c r="E79" s="34"/>
      <c r="F79" s="27"/>
    </row>
    <row r="80" spans="1:6" ht="41.25" x14ac:dyDescent="0.2">
      <c r="A80" s="57" t="s">
        <v>97</v>
      </c>
      <c r="B80" s="28" t="str">
        <f>"Dose de ataque: " &amp; ROUND(IF((B2*0.6)&lt;=12,B2*0.6,12)/4,1) &amp; " mL  por via IM, uma vez por dia ou (EV Diluir em 50 mL de SF 0,9%. Administrar em 30 minutos)  |  Dose de manutenção: " &amp; ROUND(IF((B2*0.15)&lt;=10,B2*0.15,10)/4,1) &amp; " mL por via IM ou (EV Diluir em 50 mL de SF 0,9%)."</f>
        <v>Dose de ataque: 1,5 mL  por via IM, uma vez por dia ou (EV Diluir em 50 mL de SF 0,9%. Administrar em 30 minutos)  |  Dose de manutenção: 0,4 mL por via IM ou (EV Diluir em 50 mL de SF 0,9%).</v>
      </c>
      <c r="C80" s="40"/>
      <c r="D80" s="33"/>
      <c r="E80" s="32"/>
      <c r="F80" s="27"/>
    </row>
    <row r="81" spans="1:6" ht="27.75" x14ac:dyDescent="0.2">
      <c r="A81" s="57" t="s">
        <v>98</v>
      </c>
      <c r="B81" s="28" t="str">
        <f>"Administrar " &amp; ROUND(IF((B2*0.6)&lt;=12,B2*0.6,12)/2,1) &amp; " mL uma vez ao dia por via IM puro ou (EV diluir em 50 mL de SF 0,9%, administrar em 30 minutos)"</f>
        <v>Administrar 3 mL uma vez ao dia por via IM puro ou (EV diluir em 50 mL de SF 0,9%, administrar em 30 minutos)</v>
      </c>
      <c r="C81" s="39"/>
      <c r="D81" s="33"/>
      <c r="E81" s="34"/>
      <c r="F81" s="27"/>
    </row>
    <row r="82" spans="1:6" x14ac:dyDescent="0.2">
      <c r="A82" s="170" t="s">
        <v>99</v>
      </c>
      <c r="B82" s="60"/>
      <c r="C82" s="127"/>
      <c r="D82" s="31"/>
      <c r="E82" s="32"/>
      <c r="F82" s="27"/>
    </row>
    <row r="83" spans="1:6" ht="41.25" x14ac:dyDescent="0.2">
      <c r="A83" s="57" t="s">
        <v>100</v>
      </c>
      <c r="B83" s="28" t="str">
        <f>"Administrar " &amp; ROUND(IF(B2*0.01&lt;=0.3,B2*0.01,0.3),2)/1 &amp; " mL (Puro), por via IM em vasto lateral da coxa. Pode repetir até 3 vezes no total, com intervalo de 15 minutos entre as administrações."</f>
        <v>Administrar 0,1 mL (Puro), por via IM em vasto lateral da coxa. Pode repetir até 3 vezes no total, com intervalo de 15 minutos entre as administrações.</v>
      </c>
      <c r="C83" s="27"/>
      <c r="D83" s="33"/>
      <c r="E83" s="34"/>
      <c r="F83" s="27"/>
    </row>
    <row r="84" spans="1:6" x14ac:dyDescent="0.2">
      <c r="A84" s="170" t="s">
        <v>101</v>
      </c>
      <c r="B84" s="60"/>
      <c r="C84" s="27"/>
      <c r="D84" s="33"/>
      <c r="E84" s="34"/>
      <c r="F84" s="27"/>
    </row>
    <row r="85" spans="1:6" ht="41.25" x14ac:dyDescent="0.2">
      <c r="A85" s="57" t="s">
        <v>102</v>
      </c>
      <c r="B85" s="55" t="str">
        <f>"Administrar "&amp;ROUND(IF(B2 * 1 / 4 / 10 &lt;= 2, B2 * 1 / 4 / 10, 2), 2) &amp; " mL por via EV a cada 6 horas | Administrar " &amp; ROUND(IF(B2 * 1 / 3 / 10 &lt;= 2, B2 * 1 / 3 / 10, 2), 2) &amp; " mL por via EV a cada 8 horas | Administrar " &amp; ROUND(IF(B2 * 1 / 2 / 10 &lt;= 2, B2 * 1 / 2 / 10, 2), 2) &amp; " mL por via EV a cada 12 horas | Pode aumentar ate 5 vezes cada resultado, se necessário."</f>
        <v>Administrar 0,25 mL por via EV a cada 6 horas | Administrar 0,33 mL por via EV a cada 8 horas | Administrar 0,5 mL por via EV a cada 12 horas | Pode aumentar ate 5 vezes cada resultado, se necessário.</v>
      </c>
      <c r="C85" s="27"/>
      <c r="D85" s="33"/>
      <c r="E85" s="34"/>
      <c r="F85" s="27"/>
    </row>
    <row r="86" spans="1:6" x14ac:dyDescent="0.2">
      <c r="A86" s="112" t="s">
        <v>103</v>
      </c>
      <c r="B86" s="60"/>
      <c r="D86" s="33"/>
      <c r="E86" s="34"/>
      <c r="F86" s="27"/>
    </row>
    <row r="87" spans="1:6" ht="27.75" x14ac:dyDescent="0.2">
      <c r="A87" s="113" t="s">
        <v>104</v>
      </c>
      <c r="B87" s="28" t="str">
        <f>"Diluir 1 Ampola(s) em 9 mL de SF 0,9%. Administrar " &amp; ROUND(IF((B2/10)&lt;=10, B2/10, 10), 2) &amp; " mL da mistura por via EV em bolus de 3 a 5 minutos."</f>
        <v>Diluir 1 Ampola(s) em 9 mL de SF 0,9%. Administrar 1 mL da mistura por via EV em bolus de 3 a 5 minutos.</v>
      </c>
      <c r="C87" s="27"/>
      <c r="D87" s="33"/>
      <c r="E87" s="34"/>
      <c r="F87" s="27"/>
    </row>
    <row r="88" spans="1:6" ht="27.75" x14ac:dyDescent="0.2">
      <c r="A88" s="113" t="s">
        <v>105</v>
      </c>
      <c r="B88" s="55" t="str">
        <f>"Administrar " &amp; ROUND(IF(B2*5&lt;=IF(B2*10&lt;=300,B2*10,300),B2*5,IF(B2*10&lt;=300,B2*10,300))/50,2) &amp; " mL por via EV em bolus sem diluição. (Pode ser repetida até no máximo 3 vezes)."</f>
        <v>Administrar 1 mL por via EV em bolus sem diluição. (Pode ser repetida até no máximo 3 vezes).</v>
      </c>
      <c r="C88" s="27"/>
      <c r="D88" s="33"/>
      <c r="E88" s="34"/>
      <c r="F88" s="27"/>
    </row>
    <row r="89" spans="1:6" x14ac:dyDescent="0.2">
      <c r="A89" s="113" t="s">
        <v>106</v>
      </c>
      <c r="B89" s="55" t="str">
        <f>"Administrar " &amp; ROUND(IF(B2*60&lt;=3000,B2*60,3000)/100,2) &amp; " mL por via EV em bolus lento, puro."</f>
        <v>Administrar 6 mL por via EV em bolus lento, puro.</v>
      </c>
      <c r="C89" s="27"/>
      <c r="D89" s="33"/>
      <c r="E89" s="34"/>
      <c r="F89" s="27"/>
    </row>
    <row r="90" spans="1:6" x14ac:dyDescent="0.2">
      <c r="A90" s="113" t="s">
        <v>107</v>
      </c>
      <c r="B90" s="55" t="str">
        <f>"Administrar " &amp; ROUND(IF(B2*1&lt;=IF(B2*3&lt;=75,B2*3,75),B2*1,IF(B2*3&lt;=75,B2*3,75))/20,2) &amp; " mL por via EV em bolus lento."</f>
        <v>Administrar 0,5 mL por via EV em bolus lento.</v>
      </c>
      <c r="C90" s="27"/>
      <c r="D90" s="33"/>
      <c r="E90" s="34"/>
      <c r="F90" s="27"/>
    </row>
    <row r="91" spans="1:6" ht="27.75" x14ac:dyDescent="0.2">
      <c r="A91" s="113" t="s">
        <v>108</v>
      </c>
      <c r="B91" s="55" t="str">
        <f>"Diluir " &amp; ROUNDUP(B2,1) &amp; " mL de Bicarbonato de Sódio 8,4% + " &amp; ROUNDUP(B2,1) &amp; " mL de SF 0,9%. Administrar " &amp; ROUNDUP(B2*2,1) &amp; " mL por via EV em bolus lento."</f>
        <v>Diluir 10 mL de Bicarbonato de Sódio 8,4% + 10 mL de SF 0,9%. Administrar 20 mL por via EV em bolus lento.</v>
      </c>
      <c r="C91" s="27"/>
      <c r="D91" s="33"/>
      <c r="E91" s="34"/>
      <c r="F91" s="27"/>
    </row>
    <row r="92" spans="1:6" x14ac:dyDescent="0.2">
      <c r="A92" s="113" t="s">
        <v>109</v>
      </c>
      <c r="B92" s="55" t="str">
        <f>"Administrar " &amp; ROUNDUP(B2*0.5/0.1,1) &amp; " mL de Glicose 10% por via EV em bolus."</f>
        <v>Administrar 50 mL de Glicose 10% por via EV em bolus.</v>
      </c>
      <c r="C92" s="27"/>
      <c r="D92" s="33"/>
      <c r="E92" s="34"/>
      <c r="F92" s="27"/>
    </row>
    <row r="93" spans="1:6" ht="27.75" x14ac:dyDescent="0.2">
      <c r="A93" s="113" t="s">
        <v>110</v>
      </c>
      <c r="B93" s="55" t="str">
        <f>"Diluir " &amp; ROUNDUP(B2*0.5/0.125/2,1) &amp; " mL de Glicose 25% + " &amp; ROUNDUP(B2*0.5/0.125/2,1) &amp; " mL de água destilada. Administrar " &amp; ROUNDUP(B2*0.5/0.125,1) &amp; " mL por via EV em bolus."</f>
        <v>Diluir 20 mL de Glicose 25% + 20 mL de água destilada. Administrar 40 mL por via EV em bolus.</v>
      </c>
      <c r="C93" s="27"/>
      <c r="D93" s="33"/>
      <c r="E93" s="34"/>
      <c r="F93" s="27"/>
    </row>
    <row r="94" spans="1:6" ht="27.75" x14ac:dyDescent="0.2">
      <c r="A94" s="113" t="s">
        <v>111</v>
      </c>
      <c r="B94" s="55" t="str">
        <f>"Diluir " &amp; ROUNDUP(B2*0.5/0.125/4,1) &amp; " mL de Glicose 50% + " &amp; ROUNDUP(B2*0.5/0.125/4*3,1) &amp; " mL de água destilada. Administrar " &amp; ROUNDUP(B2*0.5/0.125,1) &amp; " mL por via EV em bolus."</f>
        <v>Diluir 10 mL de Glicose 50% + 30 mL de água destilada. Administrar 40 mL por via EV em bolus.</v>
      </c>
      <c r="C94" s="27"/>
      <c r="D94" s="33"/>
      <c r="E94" s="34"/>
      <c r="F94" s="27"/>
    </row>
    <row r="95" spans="1:6" x14ac:dyDescent="0.2">
      <c r="A95" s="114" t="s">
        <v>112</v>
      </c>
      <c r="B95" s="60"/>
      <c r="C95" s="27"/>
      <c r="D95" s="33"/>
      <c r="E95" s="34"/>
      <c r="F95" s="27"/>
    </row>
    <row r="96" spans="1:6" ht="54.75" x14ac:dyDescent="0.2">
      <c r="A96" s="110" t="s">
        <v>113</v>
      </c>
      <c r="B96" s="55" t="str">
        <f>"Primeira dose: Administrar " &amp; ROUNDUP(IF(B2*0.1&lt;=6,B2*0.1,6)/3,2) &amp; " mL por via EV, em bolus. Após, fazer 20 mL de SF 0,9% em bolus utilizando o (Three Way) | Segunda dose: Administrar " &amp; ROUNDUP(IF(B2*0.2&lt;=12,B2*0.2,12)/3,2) &amp; " mL por via EV, em bolus. Após, fazer 20 mL de SF 0,9% em bolus utilizando o (Three Way)."</f>
        <v>Primeira dose: Administrar 0,34 mL por via EV, em bolus. Após, fazer 20 mL de SF 0,9% em bolus utilizando o (Three Way) | Segunda dose: Administrar 0,67 mL por via EV, em bolus. Após, fazer 20 mL de SF 0,9% em bolus utilizando o (Three Way).</v>
      </c>
      <c r="C96" s="27"/>
      <c r="D96" s="33"/>
      <c r="E96" s="34"/>
      <c r="F96" s="27"/>
    </row>
    <row r="97" spans="1:6" x14ac:dyDescent="0.2">
      <c r="A97" s="114" t="s">
        <v>114</v>
      </c>
      <c r="B97" s="60"/>
      <c r="C97" s="27"/>
      <c r="D97" s="33"/>
      <c r="E97" s="34"/>
      <c r="F97" s="27"/>
    </row>
    <row r="98" spans="1:6" ht="41.25" x14ac:dyDescent="0.2">
      <c r="A98" s="110" t="s">
        <v>115</v>
      </c>
      <c r="B98" s="55" t="str">
        <f>"Reconstituir "&amp;ROUNDUP(MIN(B2*15,750)/250,0)&amp;" frasco(s) com "&amp;ROUNDUP(MIN(B2*15,750)/250,0)*10&amp;" mL de AD. Diluir "&amp;ROUNDUP(MIN(B2*15,750)/25,1)&amp;" mL da solução reconstituida com "&amp;ROUNDUP((MIN(B2*15,750)/7)-ROUNDUP(MIN(B2*15,750)/25,2),1)&amp;" mL de SF 0,9%. Infundir por via EV a "&amp;ROUNDUP((MIN(B2*15,750)/7)/1,1)&amp;" mL/hora. Administrar de 8/8 horas. Por 7 a 21 dias.(15mg/kg/dose)"</f>
        <v>Reconstituir 1 frasco(s) com 10 mL de AD. Diluir 6 mL da solução reconstituida com 15,5 mL de SF 0,9%. Infundir por via EV a 21,5 mL/hora. Administrar de 8/8 horas. Por 7 a 21 dias.(15mg/kg/dose)</v>
      </c>
      <c r="C98" s="27"/>
      <c r="D98" s="33"/>
      <c r="E98" s="34"/>
      <c r="F98" s="27"/>
    </row>
    <row r="99" spans="1:6" ht="41.25" x14ac:dyDescent="0.2">
      <c r="A99" s="116" t="s">
        <v>115</v>
      </c>
      <c r="B99" s="106" t="str">
        <f>"Reconstituir "&amp;ROUNDUP(MIN(B2*10,750)/250,0)&amp;" frasco(s) com "&amp;ROUNDUP(MIN(B2*10,750)/250,0)*10&amp;" mL de AD. Diluir "&amp;ROUNDUP(MIN(B2*10,750)/25,1)&amp;" mL da solução reconstituida com "&amp;ROUNDUP((MIN(B2*10,750)/7)-ROUNDUP(MIN(B2*10,750)/25,2),1)&amp;" mL de SF 0,9%. Infundir por via EV a "&amp;ROUNDUP((MIN(B2*10,750)/7)/1,1)&amp;" mL/hora. Administrar de 8/8 horas. Por 7 a 21 dias.(10mg/kg/dose)"</f>
        <v>Reconstituir 1 frasco(s) com 10 mL de AD. Diluir 4 mL da solução reconstituida com 10,3 mL de SF 0,9%. Infundir por via EV a 14,3 mL/hora. Administrar de 8/8 horas. Por 7 a 21 dias.(10mg/kg/dose)</v>
      </c>
      <c r="C99" s="27"/>
      <c r="D99" s="33"/>
      <c r="E99" s="34"/>
      <c r="F99" s="27"/>
    </row>
    <row r="100" spans="1:6" x14ac:dyDescent="0.2">
      <c r="A100" s="115" t="s">
        <v>116</v>
      </c>
      <c r="B100" s="60"/>
      <c r="C100" s="33"/>
      <c r="D100" s="33"/>
      <c r="E100" s="34"/>
      <c r="F100" s="27"/>
    </row>
    <row r="101" spans="1:6" ht="41.25" x14ac:dyDescent="0.2">
      <c r="A101" s="57" t="s">
        <v>117</v>
      </c>
      <c r="B101" s="28" t="str">
        <f>"Reconstituir "&amp;IF((B2*100)&gt;2000,ROUNDUP(MIN(B2*100/2,2000)/1000,0),ROUNDUP(MIN(B2*100,4000)/1000,0))&amp;" frasco(s) com "&amp;IF((B2*100)&gt;2000,ROUNDUP(MIN(B2*100/2,2000)/1000,0),ROUNDUP(MIN(B2*100,4000)/1000,0))*5&amp;" mL de AD. Administrar "&amp;IF((B2*100)&gt;2000,ROUND(MIN(B2*100/2,2000)/200,1),ROUND(MIN(B2*100,4000)/200,1))&amp;" mL por via EV diluído em 100 mL de SF 0,9% "&amp;IF((B2*100)&gt;2000,"a cada 12/12 horas","a cada 24/24 horas")&amp;". Infundir em 60 minutos.(100mg/kg/dia)."</f>
        <v>Reconstituir 1 frasco(s) com 5 mL de AD. Administrar 5 mL por via EV diluído em 100 mL de SF 0,9% a cada 24/24 horas. Infundir em 60 minutos.(100mg/kg/dia).</v>
      </c>
      <c r="C101" s="27"/>
      <c r="D101" s="33"/>
      <c r="E101" s="32"/>
      <c r="F101" s="27"/>
    </row>
    <row r="102" spans="1:6" ht="41.25" x14ac:dyDescent="0.2">
      <c r="A102" s="116" t="s">
        <v>117</v>
      </c>
      <c r="B102" s="106" t="str">
        <f>"Reconstituir "&amp;IF((B2*50)&gt;2000,ROUNDUP(MIN(B2*50/2,2000)/1000,0),ROUNDUP(MIN(B2*50,4000)/1000,0))&amp;" frasco(s) com "&amp;IF((B2*50)&gt;2000,ROUNDUP(MIN(B2*50/2,2000)/1000,0),ROUNDUP(MIN(B2*50,4000)/1000,0))*5&amp;" mL de AD. Administrar "&amp;IF((B2*50)&gt;2000,ROUND(MIN(B2*50/2,2000)/200,1),ROUND(MIN(B2*50,4000)/200,1))&amp;" mL por via EV diluído em 100 mL de SF 0,9% "&amp;IF((B2*50)&gt;2000,"a cada 12/12 horas","a cada 24/24 horas")&amp;". Infundir em 60 minutos.(50mg/kg/dia)."</f>
        <v>Reconstituir 1 frasco(s) com 5 mL de AD. Administrar 2,5 mL por via EV diluído em 100 mL de SF 0,9% a cada 24/24 horas. Infundir em 60 minutos.(50mg/kg/dia).</v>
      </c>
      <c r="C102" s="27"/>
      <c r="D102" s="33"/>
      <c r="E102" s="32"/>
      <c r="F102" s="27"/>
    </row>
    <row r="103" spans="1:6" ht="27.75" x14ac:dyDescent="0.2">
      <c r="A103" s="109" t="s">
        <v>118</v>
      </c>
      <c r="B103" s="55" t="str">
        <f>"Administrar "&amp;ROUNDUP(MIN(B2*15,1500)/50/3,1)&amp;" mL diluído em "&amp;IF(ROUNDUP(MIN(B2*15,1500)/50/3,1)&lt;=20,"50 mL","100 mL")&amp;" de SF 0,9% por via EV de 8/8 horas. Infundir em "&amp;IF(ROUNDUP(MIN(B2*15,1500)/50/3,1)&lt;=20,"30 minutos","60 minutos")&amp;"."</f>
        <v>Administrar 1 mL diluído em 50 mL de SF 0,9% por via EV de 8/8 horas. Infundir em 30 minutos.</v>
      </c>
      <c r="C103" s="27"/>
      <c r="D103" s="33"/>
      <c r="E103" s="34"/>
      <c r="F103" s="27"/>
    </row>
    <row r="104" spans="1:6" ht="27.75" x14ac:dyDescent="0.2">
      <c r="A104" s="57" t="s">
        <v>119</v>
      </c>
      <c r="B104" s="55" t="str">
        <f>"Administrar "&amp;ROUNDUP(MIN(B2*15,1500)/125/3,1)&amp;" mL diluído em "&amp;IF(ROUNDUP(MIN(B2*15,1500)/125/3,1)&lt;=20,"50 mL","100 mL")&amp;" de SF 0,9% por via EV de 8/8 horas. Infundir em "&amp;IF(ROUNDUP(MIN(B2*15,1500)/125/3,1)&lt;=20,"30 minutos","60 minutos")&amp;"."</f>
        <v>Administrar 0,4 mL diluído em 50 mL de SF 0,9% por via EV de 8/8 horas. Infundir em 30 minutos.</v>
      </c>
      <c r="C104" s="27"/>
      <c r="D104" s="33"/>
      <c r="E104" s="32"/>
      <c r="F104" s="27"/>
    </row>
    <row r="105" spans="1:6" ht="41.25" x14ac:dyDescent="0.2">
      <c r="A105" s="57" t="s">
        <v>120</v>
      </c>
      <c r="B105" s="55" t="str">
        <f>"Reconstituir 1 frasco(s) com 20 mL de AD. Administrar " &amp; ROUNDUP(IF(B1&lt;=0.3,IF(B2*25&lt;=1000,B2*25,1000)/50,IF(B2*25&lt;=1000,B2*25,1000)/50),1) &amp; " mL diluído em " &amp; IF(B1&lt;=0.3,"50","100") &amp; " mL de SF 0,9%. Infundir por via EV direto " &amp; IF(B1&lt;=0.3,"12/12 horas","8/8 horas") &amp; ".Fazer em 30 minutos."</f>
        <v>Reconstituir 1 frasco(s) com 20 mL de AD. Administrar 5 mL diluído em 100 mL de SF 0,9%. Infundir por via EV direto 8/8 horas.Fazer em 30 minutos.</v>
      </c>
      <c r="C105" s="48"/>
      <c r="D105" s="33"/>
      <c r="E105" s="34"/>
      <c r="F105" s="27"/>
    </row>
    <row r="106" spans="1:6" ht="41.25" x14ac:dyDescent="0.2">
      <c r="A106" s="57" t="s">
        <v>121</v>
      </c>
      <c r="B106" s="55" t="str">
        <f>"Reconstituir " &amp; IF(B2*25&lt;=1000,ROUNDUP(IF(B2*25&lt;=500,1,2),0),2) &amp; " frasco(s) com " &amp; IF(B2*25&lt;=1000,ROUNDUP(IF(B2*25&lt;=500,10,20),0),20) &amp; " mL de AD. Administrar " &amp; ROUNDUP(IF(B2*25&lt;=1000,B2*25,1000)/50,1) &amp; " mL diluído em " &amp; IF(B3&lt;=3,"50","100") &amp; " mL de SF 0,9%. Infundir por via EV direto " &amp; IF(B3&lt;=3,"12/12 horas","8/8 horas") &amp; ".Fazer em 30 minutos."</f>
        <v>Reconstituir 1 frasco(s) com 10 mL de AD. Administrar 5 mL diluído em 50 mL de SF 0,9%. Infundir por via EV direto 12/12 horas.Fazer em 30 minutos.</v>
      </c>
      <c r="C106" s="48"/>
      <c r="D106" s="33"/>
      <c r="E106" s="34"/>
      <c r="F106" s="27"/>
    </row>
    <row r="107" spans="1:6" ht="41.25" x14ac:dyDescent="0.2">
      <c r="A107" s="57" t="s">
        <v>122</v>
      </c>
      <c r="B107" s="28" t="str">
        <f>"Reconstituir "&amp;ROUNDUP(IF(B2*100&gt;12000,12000,B2*100)/4000,0)&amp;" frasco(s) com "&amp;ROUNDUP(IF(B2*100&gt;12000,12000,B2*100)/4000,0)*3&amp;" mL de AD. Administrar "&amp;ROUND(IF(B2*100&gt;12000,12000/4,B2*100/4)/1000,1)*3&amp;" mL da mistura diluído em 50 a 100 mL de SF 0,9%, SG 5% ou RL por via EV, a cada 6/6 horas. Infundir em 30 minutos."</f>
        <v>Reconstituir 1 frasco(s) com 3 mL de AD. Administrar 0,9 mL da mistura diluído em 50 a 100 mL de SF 0,9%, SG 5% ou RL por via EV, a cada 6/6 horas. Infundir em 30 minutos.</v>
      </c>
      <c r="D107" s="33"/>
      <c r="E107" s="34"/>
      <c r="F107" s="27"/>
    </row>
    <row r="108" spans="1:6" ht="47.25" customHeight="1" x14ac:dyDescent="0.2">
      <c r="A108" s="57" t="s">
        <v>123</v>
      </c>
      <c r="B108" s="28" t="str">
        <f>"Reconstituir " &amp; ROUNDUP(IF(B2*40&gt;2500,2500,B2*40)/1000,0) &amp; " frasco(s) com " &amp; ROUNDUP(IF(B2*40&gt;2500,2500,B2*40)/1000,0)*10 &amp; " mL de água destilada. Administrar " &amp; ROUNDUP(IF(B2*40&gt;2500,2500,B2*40)/100,1) &amp; " mL da solução diluído em 100 mL de SF 0,9%. Infundir por via EV de 6/6 horas. Fazer em 30 minutos."</f>
        <v>Reconstituir 1 frasco(s) com 10 mL de água destilada. Administrar 4 mL da solução diluído em 100 mL de SF 0,9%. Infundir por via EV de 6/6 horas. Fazer em 30 minutos.</v>
      </c>
      <c r="D108" s="33"/>
      <c r="E108" s="34"/>
      <c r="F108" s="27"/>
    </row>
    <row r="109" spans="1:6" ht="41.25" x14ac:dyDescent="0.2">
      <c r="A109" s="57" t="s">
        <v>124</v>
      </c>
      <c r="B109" s="28" t="str">
        <f>"Reconstituir "&amp;ROUNDUP(IF(B2*100&gt;12000,12000,B2*100)/2000,0)&amp;" frasco(s) com "&amp;ROUNDUP(IF(B2*100&gt;12000,12000,B2*100)/2000,0)*5&amp;" mL de AD ou SF 0,9%. Administrar "&amp;ROUND(IF(B2*100&gt;12000,12000/4,B2*100/4)/500,1)*5&amp;" mL da mistura diluído em 50 a 100 mL de SF 0,9%, SG 5% ou RL por via EV, a cada 6/6 horas. Infundir em 30 minutos."</f>
        <v>Reconstituir 1 frasco(s) com 5 mL de AD ou SF 0,9%. Administrar 2,5 mL da mistura diluído em 50 a 100 mL de SF 0,9%, SG 5% ou RL por via EV, a cada 6/6 horas. Infundir em 30 minutos.</v>
      </c>
      <c r="C109" s="126"/>
      <c r="D109" s="33"/>
      <c r="E109" s="34"/>
      <c r="F109" s="27"/>
    </row>
    <row r="110" spans="1:6" ht="27.75" x14ac:dyDescent="0.2">
      <c r="A110" s="57" t="s">
        <v>125</v>
      </c>
      <c r="B110" s="28" t="str">
        <f>"Administrar " &amp;ROUND(IF(B1&lt;5,(B2*5)/40,(B2*7.5)/40),1)&amp; " mL diluído em 50 a 100 mL de SF 0,9%, SG 5% ou RL por via EV, a cada 24/24 horas. Infundir em 30 minutos."</f>
        <v>Administrar 1,9 mL diluído em 50 a 100 mL de SF 0,9%, SG 5% ou RL por via EV, a cada 24/24 horas. Infundir em 30 minutos.</v>
      </c>
      <c r="C110" s="27"/>
      <c r="D110" s="33"/>
      <c r="E110" s="27"/>
      <c r="F110" s="27"/>
    </row>
    <row r="111" spans="1:6" ht="27.75" x14ac:dyDescent="0.2">
      <c r="A111" s="57" t="s">
        <v>126</v>
      </c>
      <c r="B111" s="28" t="str">
        <f>"Administrar "&amp;ROUND(IF(B2*40&gt;2700,2700/3,B2*40/3)/150,1)&amp;" mL diluído em 50 a 100 mL de SF 0,9%, SG 5% ou RL por via EV, a cada 8/8 horas. Infundir em 30 minutos."</f>
        <v>Administrar 0,9 mL diluído em 50 a 100 mL de SF 0,9%, SG 5% ou RL por via EV, a cada 8/8 horas. Infundir em 30 minutos.</v>
      </c>
      <c r="C111" s="27"/>
      <c r="D111" s="33"/>
      <c r="E111" s="27"/>
      <c r="F111" s="27"/>
    </row>
    <row r="112" spans="1:6" ht="41.25" x14ac:dyDescent="0.2">
      <c r="A112" s="57" t="s">
        <v>127</v>
      </c>
      <c r="B112" s="28" t="str">
        <f>"Reconstituir " &amp;ROUNDUP(IF(B2*10&gt;2000,2000,B2*10)/500,0)&amp;" frasco(s) com " &amp; ROUNDUP(IF(B2*10&gt;2000,2000,B2*10)/500,0)*5 &amp; " mL de AD. Administrar "&amp;ROUND(IF(B2*10&gt;2000,2000,B2*10)/500,1)*5&amp;" mL da mistura diluído em 100 mL de SF 0,9% por via EV, a cada 6/6 horas. Infundir em 60 minutos."</f>
        <v>Reconstituir 1 frasco(s) com 5 mL de AD. Administrar 1 mL da mistura diluído em 100 mL de SF 0,9% por via EV, a cada 6/6 horas. Infundir em 60 minutos.</v>
      </c>
      <c r="C112" s="27"/>
      <c r="D112" s="33"/>
      <c r="E112" s="27"/>
      <c r="F112" s="27"/>
    </row>
    <row r="113" spans="1:6" ht="41.25" x14ac:dyDescent="0.2">
      <c r="A113" s="57" t="s">
        <v>128</v>
      </c>
      <c r="B113" s="28" t="str">
        <f>"Reconstituir "&amp;ROUNDUP(IF(B2*40*3&gt;6000,6000,B2*40*3)/1500,0)&amp;" frasco(s) com "&amp;ROUNDUP(IF(B2*40*3&gt;6000,6000,B2*40*3)/1500,0)*5&amp;" mL de AD. Administrar "&amp;ROUNDUP(IF(B2*40&gt;2000,2000,B2*40)/500,1)*5&amp;" mL da mistura diluído em 50 a 100 mL de SF 0,9% ou SG 5% por via EV, a cada 8/8 horas. Infundir em 30 minutos."</f>
        <v>Reconstituir 1 frasco(s) com 5 mL de AD. Administrar 4 mL da mistura diluído em 50 a 100 mL de SF 0,9% ou SG 5% por via EV, a cada 8/8 horas. Infundir em 30 minutos.</v>
      </c>
      <c r="C113" s="27"/>
      <c r="D113" s="33"/>
      <c r="E113" s="27"/>
      <c r="F113" s="27"/>
    </row>
    <row r="114" spans="1:6" ht="41.25" x14ac:dyDescent="0.2">
      <c r="A114" s="57" t="s">
        <v>129</v>
      </c>
      <c r="B114" s="28" t="str">
        <f>"Reconstituir "&amp;ROUNDUP(IF(B2*100&gt;12000,12000,B2*100)/4000,0)&amp;" ampola(s) com "&amp;ROUNDUP(IF(B2*100&gt;12000,12000,B2*100)/4000,0)*3&amp;" mL de AD. Administrar "&amp;ROUNDUP(IF(B2*100&gt;12000,12000/3,B2*100/3)/1500,1)*3&amp;" mL da mistura diluído em 50 a 100 mL de SF 0,9% ou SG 5% por via EV, a cada 8/8 horas. Infundir em 30 minutos."</f>
        <v>Reconstituir 1 ampola(s) com 3 mL de AD. Administrar 0,9 mL da mistura diluído em 50 a 100 mL de SF 0,9% ou SG 5% por via EV, a cada 8/8 horas. Infundir em 30 minutos.</v>
      </c>
      <c r="C114" s="27"/>
      <c r="D114" s="33"/>
      <c r="E114" s="27"/>
      <c r="F114" s="27"/>
    </row>
    <row r="115" spans="1:6" ht="27.75" x14ac:dyDescent="0.2">
      <c r="A115" s="84" t="s">
        <v>130</v>
      </c>
      <c r="B115" s="28" t="str">
        <f>"Reconstituir "&amp;ROUNDUP(IF(B1&lt;=0.9,MIN(B2*80,16000)/4000,MIN(B2*100,16000)/4000),0)&amp;" frasco(s) com "&amp;ROUNDUP(IF(B1&lt;=0.9,MIN(B2*80,16000)/4000,MIN(B2*100,16000)/4000),0)*4&amp;" mL de AD. Administrar "&amp;ROUNDUP(IF(B1&lt;=0,MIN(B2*80,16000)/1000,MIN(B2*100,16000)/1000),1)&amp;" mL diluído em "&amp;IF(B1&lt;=0.9,"50 mL","100 mL")&amp;" de SF 0,9% por via EV de "&amp;IF(B1&lt;=0.9,"6/6 horas","8/8 horas")&amp;". Infundir em 60 minutos."</f>
        <v>Reconstituir 1 frasco(s) com 4 mL de AD. Administrar 1 mL diluído em 100 mL de SF 0,9% por via EV de 8/8 horas. Infundir em 60 minutos.</v>
      </c>
      <c r="C115" s="48"/>
      <c r="D115" s="33"/>
      <c r="E115" s="27"/>
      <c r="F115" s="27"/>
    </row>
    <row r="116" spans="1:6" ht="41.25" x14ac:dyDescent="0.2">
      <c r="A116" s="113" t="s">
        <v>131</v>
      </c>
      <c r="B116" s="28" t="str">
        <f>IF(B1&lt;=4,"Dose de ataque: Administrar "&amp;ROUND(IF(B2*15&gt;4000,4000,B2*15)/5,1)&amp;" mL por via EV. (Infundir em 60 minutos) | Dose de manutenção: Administrar "&amp;ROUND(IF(B2*7.5*2&gt;4000,4000/2,B2*7.5)/5,1)&amp;" mL por via EV de 12/12 horas. (Infundir em 60 minutos)","Dose de ataque: Administrar "&amp;ROUND(IF(B2*15&gt;4000,4000,B2*15)/5,1)&amp;" mL por via EV. (Infundir em 60 minutos) | Dose de manutenção: Administrar "&amp;ROUND(IF(B2*7.5*3&gt;4000,4000/3,B2*7.5)/5,1)&amp;" mL por via EV de 8/8 horas. (Infundir em 60 minutos)")</f>
        <v>Dose de ataque: Administrar 30 mL por via EV. (Infundir em 60 minutos) | Dose de manutenção: Administrar 15 mL por via EV de 8/8 horas. (Infundir em 60 minutos)</v>
      </c>
      <c r="C116" s="27"/>
      <c r="D116" s="33"/>
      <c r="E116" s="27"/>
      <c r="F116" s="27"/>
    </row>
    <row r="117" spans="1:6" ht="41.25" x14ac:dyDescent="0.2">
      <c r="A117" s="113" t="s">
        <v>132</v>
      </c>
      <c r="B117" s="55" t="str">
        <f>"Reconstituir 1 frasco(s) com 10 mL de AD. Administrar " &amp; ROUNDUP(IF(B2*7.5&lt;=500,B2*7.5,500)/50,1) &amp; " mL diluído em 100 mL de SF 0,9% ou SG 5%  por via EV, de 12/12 horas. Infundir em 30 minutos."</f>
        <v>Reconstituir 1 frasco(s) com 10 mL de AD. Administrar 1,5 mL diluído em 100 mL de SF 0,9% ou SG 5%  por via EV, de 12/12 horas. Infundir em 30 minutos.</v>
      </c>
      <c r="C117" s="27"/>
      <c r="D117" s="33"/>
      <c r="E117" s="27"/>
      <c r="F117" s="27"/>
    </row>
    <row r="118" spans="1:6" x14ac:dyDescent="0.2">
      <c r="A118" s="114" t="s">
        <v>133</v>
      </c>
      <c r="B118" s="60"/>
      <c r="C118" s="27"/>
      <c r="D118" s="33"/>
      <c r="E118" s="27"/>
      <c r="F118" s="27"/>
    </row>
    <row r="119" spans="1:6" ht="27.75" x14ac:dyDescent="0.2">
      <c r="A119" s="109" t="s">
        <v>134</v>
      </c>
      <c r="B119" s="28" t="str">
        <f>"Reconstituir "&amp;IF(ROUNDUP((B2*100)/1000,0)&lt;=2,ROUNDUP((B2*100)/1000,0),2)&amp;" frasco(s) com "&amp;IF(ROUNDUP((B2*100)/1000,0)&lt;=2,ROUNDUP((B2*100)/1000,0),2)*2.5&amp;" mL de AD. Administrar "&amp;ROUND(IF((B2*100)&lt;=2000,(B2*100)/400,2000/400),1)&amp;" mL por via IM a cada 24/24 horas. Por 3 a 5 dias."</f>
        <v>Reconstituir 1 frasco(s) com 2,5 mL de AD. Administrar 2,5 mL por via IM a cada 24/24 horas. Por 3 a 5 dias.</v>
      </c>
      <c r="C119" s="27"/>
      <c r="D119" s="33"/>
      <c r="E119" s="27"/>
      <c r="F119" s="27"/>
    </row>
    <row r="120" spans="1:6" ht="27.75" x14ac:dyDescent="0.2">
      <c r="A120" s="57" t="s">
        <v>135</v>
      </c>
      <c r="B120" s="28" t="str">
        <f>"Reconstituir "&amp;IF(ROUNDUP((B2*50000)/600000,0)&lt;=2,ROUNDUP((B2*50000)/600000,0),2)&amp;" frasco(s) com "&amp;IF(ROUNDUP((B2*50000)/600000,0)&lt;=2,ROUNDUP((B2*50000)/600000,0),2)*3.2&amp;" mL de diluente para obter uma mistura de "&amp;IF(ROUNDUP((B2*50000)/600000,0)&lt;=2,ROUNDUP((B2*50000)/600000,0),2)*4&amp;" mL. Administrar "&amp;ROUND(IF((B2*50000)&lt;=1200000,(B2*50000)/150000,1200000/150000),1)&amp;" mL por via IM, dose única."</f>
        <v>Reconstituir 1 frasco(s) com 3,2 mL de diluente para obter uma mistura de 4 mL. Administrar 3,3 mL por via IM, dose única.</v>
      </c>
      <c r="C120" s="27"/>
      <c r="D120" s="33"/>
      <c r="E120" s="27"/>
      <c r="F120" s="27"/>
    </row>
    <row r="121" spans="1:6" ht="27.75" x14ac:dyDescent="0.2">
      <c r="A121" s="84" t="s">
        <v>136</v>
      </c>
      <c r="B121" s="28" t="str">
        <f>"Reconstituir "&amp;IF(ROUNDUP((B2*50000)/1200000,0)&lt;=1,ROUNDUP((B2*50000)/1200000,0),1)&amp;" frasco(s) com 3,2 mL de diluente para obter uma mistura de 4 mL. Administrar "&amp;ROUND(IF((B2*50000)&lt;=1200000,(B2*50000)/300000,1200000/300000),1)&amp;" mL por via IM, dose única."</f>
        <v>Reconstituir 1 frasco(s) com 3,2 mL de diluente para obter uma mistura de 4 mL. Administrar 1,7 mL por via IM, dose única.</v>
      </c>
      <c r="C121" s="27"/>
      <c r="D121" s="34"/>
      <c r="E121" s="27"/>
      <c r="F121" s="27"/>
    </row>
    <row r="122" spans="1:6" ht="61.5" customHeight="1" x14ac:dyDescent="0.2">
      <c r="A122" s="57" t="s">
        <v>137</v>
      </c>
      <c r="B122" s="28" t="str">
        <f>"Reconstituir "&amp;ROUNDUP(MIN(B2*50000,5000000)/5000000,0)&amp;" frasco(s) com "&amp;ROUNDUP(MIN(B2*50000,5000000)/5000000,0)*10&amp;" mL de diluente. Pegar "&amp;ROUNDDOWN(MIN(B2*50000,5000000)/500000,2)&amp;" mL da mistura e diluir em "&amp;ROUNDDOWN((MIN(B2*50000,5000000)/10000)-ROUNDDOWN(MIN(B2*50000,5000000)/500000,2),2)&amp;" mL de SG 5% e administrar por via EV bem lento. Correr em 60 minutos. Administrar de "&amp;IF(B1&lt;=0.07,"12/12 horas","8/8 horas")&amp;" (50.000 UI/kg/dose)."</f>
        <v>Reconstituir 1 frasco(s) com 10 mL de diluente. Pegar 1 mL da mistura e diluir em 49 mL de SG 5% e administrar por via EV bem lento. Correr em 60 minutos. Administrar de 8/8 horas (50.000 UI/kg/dose).</v>
      </c>
      <c r="C122" s="27"/>
      <c r="D122" s="34"/>
      <c r="E122" s="27"/>
      <c r="F122" s="27"/>
    </row>
    <row r="123" spans="1:6" ht="41.25" x14ac:dyDescent="0.2">
      <c r="A123" s="57" t="s">
        <v>138</v>
      </c>
      <c r="B123" s="28" t="str">
        <f>"Reconstituir "&amp;ROUNDUP(MIN(B2*25000,2000000)/1000000,0)&amp;" frasco(s) com "&amp;ROUNDUP(MIN(B2*25000,2000000)/1000000,0)*10&amp;" mL de AD. Pegar "&amp;ROUNDDOWN(MIN(B2*25000,2000000)/100000,2)&amp;" mL da mistura e diluir em "&amp;ROUNDDOWN(IF(MIN(B2*25000,2000000)&lt;=500000,250,250*(MIN(B2*25000,2000000)/500000)),2)&amp;" mL de SG 5%. Infundir por via EV bem lenta, em 2 horas. Administrar de 12/12 horas. (25.000 UI/Kg/Dia)."</f>
        <v>Reconstituir 1 frasco(s) com 10 mL de AD. Pegar 2,5 mL da mistura e diluir em 250 mL de SG 5%. Infundir por via EV bem lenta, em 2 horas. Administrar de 12/12 horas. (25.000 UI/Kg/Dia).</v>
      </c>
      <c r="C123" s="27"/>
      <c r="D123" s="34"/>
      <c r="E123" s="27"/>
      <c r="F123" s="27"/>
    </row>
    <row r="124" spans="1:6" x14ac:dyDescent="0.2">
      <c r="A124" s="102" t="s">
        <v>139</v>
      </c>
      <c r="B124" s="60"/>
      <c r="C124" s="33"/>
      <c r="D124" s="33"/>
      <c r="E124" s="27"/>
      <c r="F124" s="27"/>
    </row>
    <row r="125" spans="1:6" ht="27.75" x14ac:dyDescent="0.2">
      <c r="A125" s="57" t="s">
        <v>140</v>
      </c>
      <c r="B125" s="55" t="str">
        <f>"Administrar " &amp; ROUNDUP(IF(B2*2&lt;=B2*13,B2*2,B2*13)/50,1) &amp; " mL diluído em 10 mL de SF 0,9%. Fazer bem lento. Usar uma vez ao dia.(2mg/kg)."</f>
        <v>Administrar 0,4 mL diluído em 10 mL de SF 0,9%. Fazer bem lento. Usar uma vez ao dia.(2mg/kg).</v>
      </c>
      <c r="C125" s="128" t="str">
        <f>"Administrar " &amp; ROUNDUP(IF(B2*1&lt;=B2*13,B2*1,B2*13)/50,1) &amp; " mL diluído em 10 mL de SF 0,9%. Fazer bem lento. Usar uma vez ao dia. (1mg/kg)."</f>
        <v>Administrar 0,2 mL diluído em 10 mL de SF 0,9%. Fazer bem lento. Usar uma vez ao dia. (1mg/kg).</v>
      </c>
      <c r="D125" s="33"/>
      <c r="E125" s="27"/>
      <c r="F125" s="27"/>
    </row>
    <row r="126" spans="1:6" x14ac:dyDescent="0.2">
      <c r="A126" s="57" t="s">
        <v>141</v>
      </c>
      <c r="B126" s="55" t="str">
        <f>"Administrar " &amp; ROUNDUP(IF(B2*0.2&lt;=10,B2*0.2,10)/5,1) &amp; " mL por via IM ou EV."</f>
        <v>Administrar 0,4 mL por via IM ou EV.</v>
      </c>
      <c r="D126" s="33"/>
      <c r="E126" s="27"/>
      <c r="F126" s="27"/>
    </row>
    <row r="127" spans="1:6" x14ac:dyDescent="0.2">
      <c r="A127" s="57" t="s">
        <v>142</v>
      </c>
      <c r="B127" s="55" t="str">
        <f>"Administrar " &amp; ROUNDUP(IF(B2*2&lt;=B2*18,B2*2,B2*18)/10,1) &amp; " mL por via EV puro sem diluição. Fazer bem lento.(2mg/kg)."</f>
        <v>Administrar 2 mL por via EV puro sem diluição. Fazer bem lento.(2mg/kg).</v>
      </c>
      <c r="C127" s="128" t="str">
        <f>"Administrar " &amp; ROUNDUP(IF(B2*1&lt;=B2*18,B2*1,B2*18)/10,1) &amp; " mL por via EV puro sem diluição. Fazer bem lento.(1mg/kg)."</f>
        <v>Administrar 1 mL por via EV puro sem diluição. Fazer bem lento.(1mg/kg).</v>
      </c>
      <c r="D127" s="33"/>
      <c r="E127" s="27"/>
      <c r="F127" s="27"/>
    </row>
    <row r="128" spans="1:6" ht="27.75" x14ac:dyDescent="0.2">
      <c r="A128" s="57" t="s">
        <v>143</v>
      </c>
      <c r="B128" s="55" t="str">
        <f>"Administrar " &amp; ROUNDUP(IF(B2*0.3&lt;=20,B2*0.3,20)/2,1) &amp; " mL diluído em 10 mL de SF 0,9%. Fazer lentamente por via EV.(0,3mg/kg)."</f>
        <v>Administrar 1,5 mL diluído em 10 mL de SF 0,9%. Fazer lentamente por via EV.(0,3mg/kg).</v>
      </c>
      <c r="C128" s="128" t="str">
        <f>"Administrar " &amp; ROUNDUP(IF(B2*0.2&lt;=20,B2*0.2,20)/2,1) &amp; " mL diluído em 10 mL de SF 0,9%. Fazer lentamente por via EV.(0,2mg/kg)."</f>
        <v>Administrar 1 mL diluído em 10 mL de SF 0,9%. Fazer lentamente por via EV.(0,2mg/kg).</v>
      </c>
      <c r="D128" s="33"/>
      <c r="E128" s="27"/>
      <c r="F128" s="27"/>
    </row>
    <row r="129" spans="1:6" ht="27.75" x14ac:dyDescent="0.2">
      <c r="A129" s="57" t="s">
        <v>144</v>
      </c>
      <c r="B129" s="55" t="str">
        <f>"Administrar " &amp; ROUNDUP(IF(B2*2&lt;=50,B2*2,50)/50,1) &amp; " mL diluído em 10 mL de SF 0,9%. Fazer lentamente por via EV."</f>
        <v>Administrar 0,4 mL diluído em 10 mL de SF 0,9%. Fazer lentamente por via EV.</v>
      </c>
      <c r="C129" s="27"/>
      <c r="D129" s="33"/>
      <c r="E129" s="27"/>
      <c r="F129" s="27"/>
    </row>
    <row r="130" spans="1:6" x14ac:dyDescent="0.2">
      <c r="A130" s="170" t="s">
        <v>145</v>
      </c>
      <c r="B130" s="60"/>
      <c r="C130" s="27"/>
      <c r="D130" s="33"/>
      <c r="E130" s="27"/>
      <c r="F130" s="27"/>
    </row>
    <row r="131" spans="1:6" x14ac:dyDescent="0.2">
      <c r="A131" s="57" t="s">
        <v>146</v>
      </c>
      <c r="B131" s="55" t="str">
        <f>"Administrar " &amp; ROUNDUP(B2/10,1) &amp; " mL diluído em " &amp; ROUNDUP(ROUNDUP(B2/10,1)/5,0)*10 &amp; " mL de SF 0,9%. Fazer em bolus por via EV."</f>
        <v>Administrar 1 mL diluído em 10 mL de SF 0,9%. Fazer em bolus por via EV.</v>
      </c>
      <c r="C131" s="27"/>
      <c r="D131" s="33"/>
      <c r="E131" s="27"/>
      <c r="F131" s="27"/>
    </row>
    <row r="132" spans="1:6" ht="27.75" x14ac:dyDescent="0.2">
      <c r="A132" s="57" t="s">
        <v>147</v>
      </c>
      <c r="B132" s="55" t="str">
        <f>"Reconstituir " &amp; IF(B2*2&lt;=100,1,2) &amp; " frasco(s) com " &amp; IF(B2*2&lt;=100,10,20) &amp; " mL de AD. Administrar " &amp; ROUNDUP(IF(B2*2&lt;=150,B2*2,150)/10,1) &amp; " mL por via EV em bolus."</f>
        <v>Reconstituir 1 frasco(s) com 10 mL de AD. Administrar 2 mL por via EV em bolus.</v>
      </c>
      <c r="C132" s="27"/>
      <c r="D132" s="33"/>
      <c r="E132" s="27"/>
      <c r="F132" s="27"/>
    </row>
    <row r="133" spans="1:6" x14ac:dyDescent="0.2">
      <c r="A133" s="170" t="s">
        <v>148</v>
      </c>
      <c r="B133" s="60"/>
      <c r="C133" s="27"/>
      <c r="D133" s="33"/>
      <c r="E133" s="27"/>
      <c r="F133" s="27"/>
    </row>
    <row r="134" spans="1:6" ht="27.75" x14ac:dyDescent="0.2">
      <c r="A134" s="57" t="s">
        <v>149</v>
      </c>
      <c r="B134" s="55" t="str">
        <f>"Administrar " &amp; IF(B2*0.02/0.25&lt;=2,ROUNDUP(B2*0.02/0.25,1),2) &amp; " mL de Atropina por via EV " &amp; IF(B2*0.02/0.25&lt;=2,"sem diluição","diluído em 50 mL de SF 0,9%") &amp; ". Pode repetir uma vez em 5 minutos."</f>
        <v>Administrar 0,8 mL de Atropina por via EV sem diluição. Pode repetir uma vez em 5 minutos.</v>
      </c>
      <c r="C134" s="27"/>
      <c r="D134" s="33"/>
      <c r="E134" s="27"/>
      <c r="F134" s="27"/>
    </row>
    <row r="135" spans="1:6" x14ac:dyDescent="0.2">
      <c r="A135" s="170" t="s">
        <v>150</v>
      </c>
      <c r="B135" s="60"/>
      <c r="C135" s="27"/>
      <c r="D135" s="33"/>
      <c r="E135" s="27"/>
      <c r="F135" s="27"/>
    </row>
    <row r="136" spans="1:6" ht="27.75" x14ac:dyDescent="0.2">
      <c r="A136" s="57" t="s">
        <v>151</v>
      </c>
      <c r="B136" s="55" t="str">
        <f>"Administrar por via EV ou IM: "&amp;ROUNDUP(IF(B2*0.2&lt;=5,(B2*0.2)/5,5/5),2)&amp;" mL/dose, repetir até "&amp;ROUNDUP(IF(B2*0.4&lt;=10,(B2*0.4)/5,10/5),2)&amp;" mL (dose total). | EV contínuo: "&amp;ROUNDUP(IF(B2*0.2&lt;=10,(B2*0.2)/5,10/5),2)&amp;" mL/hora. | Nasal: "&amp;ROUNDUP(IF(B2*0.4&lt;=10,(B2*0.4)/5,10/5),2)&amp;" mL/dose. | Retal: "&amp;ROUNDUP(IF(B2*1&lt;=10,(B2*1)/5,10/5),2)&amp;" mL/dose."</f>
        <v>Administrar por via EV ou IM: 0,4 mL/dose, repetir até 0,8 mL (dose total). | EV contínuo: 0,4 mL/hora. | Nasal: 0,8 mL/dose. | Retal: 2 mL/dose.</v>
      </c>
      <c r="C136" s="27"/>
      <c r="D136" s="33"/>
      <c r="E136" s="27"/>
      <c r="F136" s="27"/>
    </row>
    <row r="137" spans="1:6" ht="27.75" x14ac:dyDescent="0.2">
      <c r="A137" s="57" t="s">
        <v>152</v>
      </c>
      <c r="B137" s="55" t="str">
        <f>"Administrar "&amp;ROUNDUP(IF((B2*0.2)&lt;=20,(B2*0.2)/5,20/5),1)&amp;" mL diluído em 10 mL de SF 0,9%. Administrar por via EV bem lento | Pode repetir até 3 vezes com intervalo de 5 minutos."</f>
        <v>Administrar 0,4 mL diluído em 10 mL de SF 0,9%. Administrar por via EV bem lento | Pode repetir até 3 vezes com intervalo de 5 minutos.</v>
      </c>
      <c r="C137" s="27"/>
      <c r="D137" s="33"/>
      <c r="E137" s="27"/>
      <c r="F137" s="27"/>
    </row>
    <row r="138" spans="1:6" ht="68.25" x14ac:dyDescent="0.2">
      <c r="A138" s="57" t="s">
        <v>153</v>
      </c>
      <c r="B138" s="55" t="str">
        <f>"Administrar "&amp;ROUNDUP(MIN(B2*20,1000)/50,1)&amp;" mL diluído em 100 mL de SF 0,9%. Correr em 20 minutos a uma taxa de "&amp;ROUNDUP(MIN(B2*20,1000)/20/50,2)&amp;" mL/min. Pode repetir mais uma dose de "&amp;ROUNDUP(MIN(B2*10,1000)/50,1)&amp;" mL. Se necessário, caso a convulsão não melhore. Observção: É necessária monitorização cardíaca cuidadosa durante e após a administração intravenosa."</f>
        <v>Administrar 4 mL diluído em 100 mL de SF 0,9%. Correr em 20 minutos a uma taxa de 0,2 mL/min. Pode repetir mais uma dose de 2 mL. Se necessário, caso a convulsão não melhore. Observção: É necessária monitorização cardíaca cuidadosa durante e após a administração intravenosa.</v>
      </c>
      <c r="C138" s="27"/>
      <c r="D138" s="33"/>
      <c r="E138" s="27"/>
      <c r="F138" s="27"/>
    </row>
    <row r="139" spans="1:6" ht="68.25" x14ac:dyDescent="0.2">
      <c r="A139" s="57" t="s">
        <v>154</v>
      </c>
      <c r="B139" s="55" t="str">
        <f>"Administrar "&amp;ROUNDUP(MIN(B2*20,1000)/100,1)&amp;" mL diluído em 100 mL de SF 0,9%. Correr em 20 minutos a uma taxa de "&amp;ROUNDUP(MIN(B2*20,1000)/20/100,2)&amp;" mL/min. Pode repetir mais uma dose de "&amp;ROUNDUP(MIN(B2*10,1000)/100,1)&amp;" mL caso a convulsão não melhore após 10 a 15 minutos. Observação: Suporte respiratório adicional pode ser necessário, especialmente ao maximizar a dose de ataque ou com terapia sedativa concomitante."</f>
        <v>Administrar 2 mL diluído em 100 mL de SF 0,9%. Correr em 20 minutos a uma taxa de 0,1 mL/min. Pode repetir mais uma dose de 1 mL caso a convulsão não melhore após 10 a 15 minutos. Observação: Suporte respiratório adicional pode ser necessário, especialmente ao maximizar a dose de ataque ou com terapia sedativa concomitante.</v>
      </c>
      <c r="C139" s="27"/>
      <c r="D139" s="33"/>
      <c r="E139" s="27"/>
      <c r="F139" s="27"/>
    </row>
    <row r="140" spans="1:6" x14ac:dyDescent="0.2">
      <c r="A140" s="57" t="s">
        <v>155</v>
      </c>
      <c r="B140" s="55" t="str">
        <f>"Administrar "&amp;ROUNDUP(MIN(B2*2,500)/2,0)&amp;" gotas por via oral de 24/24 horas. Uma vez ao dia."</f>
        <v>Administrar 10 gotas por via oral de 24/24 horas. Uma vez ao dia.</v>
      </c>
      <c r="D140" s="25"/>
      <c r="E140" s="27"/>
      <c r="F140" s="27"/>
    </row>
    <row r="141" spans="1:6" ht="27.75" x14ac:dyDescent="0.2">
      <c r="A141" s="57" t="s">
        <v>156</v>
      </c>
      <c r="B141" s="55" t="str">
        <f>"Dose inicial: Tomar "&amp;ROUNDUP(MIN(B2*0.01,B2*0.03)/0.125/2,0)&amp;" gotas por via oral de 12/12 horas. | Dose de manutenção: Tomar "&amp;ROUNDUP(MIN(B2*0.1,B2*0.2)/0.125/2,0)&amp;" gotas por via oral de 12/12 horas."</f>
        <v>Dose inicial: Tomar 1 gotas por via oral de 12/12 horas. | Dose de manutenção: Tomar 4 gotas por via oral de 12/12 horas.</v>
      </c>
      <c r="D141" s="25"/>
      <c r="E141" s="27"/>
      <c r="F141" s="27"/>
    </row>
    <row r="142" spans="1:6" ht="41.25" x14ac:dyDescent="0.2">
      <c r="A142" s="57" t="s">
        <v>157</v>
      </c>
      <c r="B142" s="55" t="str">
        <f>"Administrar "&amp;ROUNDUP(IF(B1&lt;5,MIN(B2*0.55,40)/5,MIN(B2*0.55,75)/5),1)&amp;" mL diluído em "&amp;ROUNDUP(IF(B1&lt;5,MIN(B2*0.55,40)/1,MIN(B2*0.55,75)/1),1)-ROUNDUP(IF(B1&lt;5,MIN(B2*0.55,40)/5,MIN(B2*0.55,75)/5),1)&amp;" mL de SF 0,9% por via EV. Pode repetir a cada 8 horas. Se necessário. Observação: Administrar EV lentamente, por pelo menos 2 minutos."</f>
        <v>Administrar 1,1 mL diluído em 4,4 mL de SF 0,9% por via EV. Pode repetir a cada 8 horas. Se necessário. Observação: Administrar EV lentamente, por pelo menos 2 minutos.</v>
      </c>
      <c r="D142" s="25"/>
      <c r="E142" s="27"/>
      <c r="F142" s="27"/>
    </row>
    <row r="143" spans="1:6" x14ac:dyDescent="0.2">
      <c r="A143" s="170" t="s">
        <v>158</v>
      </c>
      <c r="B143" s="60"/>
      <c r="D143" s="25"/>
      <c r="E143" s="27"/>
      <c r="F143" s="27"/>
    </row>
    <row r="144" spans="1:6" ht="27.75" x14ac:dyDescent="0.2">
      <c r="A144" s="57" t="s">
        <v>159</v>
      </c>
      <c r="B144" s="55" t="str">
        <f>"Administrar "&amp;ROUND((B2 * 0.1 * 1440) / 1000, 2) &amp; " mL de adrenalina + " &amp; ROUND(100 - ((B2 * 0.1 * 1440) / 1000), 2) &amp; " mL de SF 0,9% | Administrar a " &amp; ROUND(250 / 24, 1) &amp; " mL/hora em BIC - Por 24 horas."</f>
        <v>Administrar 1,44 mL de adrenalina + 98,56 mL de SF 0,9% | Administrar a 10,4 mL/hora em BIC - Por 24 horas.</v>
      </c>
      <c r="D144" s="25"/>
      <c r="E144" s="27"/>
      <c r="F144" s="27"/>
    </row>
    <row r="145" spans="1:6" ht="27.75" x14ac:dyDescent="0.2">
      <c r="A145" s="57" t="s">
        <v>160</v>
      </c>
      <c r="B145" s="55" t="str">
        <f>"Administrar "&amp;ROUND((B2 * 0.3 * 1440) / 1000, 2) &amp; " mL de adrenalina + " &amp; ROUND(250 - ((B2 * 0.3 * 1440) / 1000), 2) &amp; " mL de SF 0,9% | Administrar a " &amp; ROUND(250 / 24, 1) &amp; " mL/hora em BIC - Por 24 horas."</f>
        <v>Administrar 4,32 mL de adrenalina + 245,68 mL de SF 0,9% | Administrar a 10,4 mL/hora em BIC - Por 24 horas.</v>
      </c>
      <c r="D145" s="25"/>
      <c r="E145" s="27"/>
      <c r="F145" s="27"/>
    </row>
    <row r="146" spans="1:6" ht="27.75" x14ac:dyDescent="0.2">
      <c r="A146" s="57" t="s">
        <v>161</v>
      </c>
      <c r="B146" s="55" t="str">
        <f>"Administrar "&amp;ROUND((B2 * 0.1 * 1440) / 1000, 2) &amp; " mL de noradrenalina + " &amp; ROUND(250 - ((B2 * 0.1 * 1440) / 1000), 2) &amp; " mL de SF 0,9% | ADMINISTRAR A " &amp; ROUND(250 / 24, 1) &amp; " mL/hora em BIC - Por 24 horas."</f>
        <v>Administrar 1,44 mL de noradrenalina + 248,56 mL de SF 0,9% | ADMINISTRAR A 10,4 mL/hora em BIC - Por 24 horas.</v>
      </c>
      <c r="D146" s="25"/>
      <c r="E146" s="27"/>
      <c r="F146" s="27"/>
    </row>
    <row r="147" spans="1:6" ht="27.75" x14ac:dyDescent="0.2">
      <c r="A147" s="57" t="s">
        <v>162</v>
      </c>
      <c r="B147" s="55" t="str">
        <f>"Administrar "&amp;ROUND((B2 * 5 * 1440) / 12500, 2) &amp; " mL de dobutamina + " &amp; ROUND(250 - ((B2 * 5 * 1440) / 12500), 2) &amp; " mL de SF 0,9% | Administrar a " &amp; ROUND(250 / 24, 1) &amp; " mL/hora em BIC - Por 24 horas."</f>
        <v>Administrar 5,76 mL de dobutamina + 244,24 mL de SF 0,9% | Administrar a 10,4 mL/hora em BIC - Por 24 horas.</v>
      </c>
      <c r="D147" s="25"/>
      <c r="E147" s="27"/>
      <c r="F147" s="27"/>
    </row>
    <row r="148" spans="1:6" ht="27.75" x14ac:dyDescent="0.2">
      <c r="A148" s="57" t="s">
        <v>163</v>
      </c>
      <c r="B148" s="55" t="str">
        <f>"Administrar "&amp;ROUND((B2 * 0.25 * 1440) / 1000, 2) &amp; " mL de milrinona + " &amp; ROUND(192 - ((B2 * 0.25 * 1440) / 1000), 2) &amp; " mL de SF 0,9% | Administrar a " &amp; ROUND(192 / 24, 1) &amp; " mL/hora em BIC - Por 24 horas."</f>
        <v>Administrar 3,6 mL de milrinona + 188,4 mL de SF 0,9% | Administrar a 8 mL/hora em BIC - Por 24 horas.</v>
      </c>
      <c r="D148" s="25"/>
      <c r="E148" s="27"/>
      <c r="F148" s="27"/>
    </row>
    <row r="149" spans="1:6" ht="27.75" x14ac:dyDescent="0.2">
      <c r="A149" s="57" t="s">
        <v>164</v>
      </c>
      <c r="B149" s="55" t="str">
        <f>"Administrar "&amp;ROUND((B2 * 0.3 * 1440) / 25000, 2) &amp; " mL de nitruprussiato + " &amp; ROUND(200 - ((B2 * 0.3 * 1440) / 25000), 2) &amp; " mL de SF 0,9% | Administrar a " &amp; ROUND(200 / 24, 1) &amp; " mL/hora em BIC - Por 24 horas."</f>
        <v>Administrar 0,17 mL de nitruprussiato + 199,83 mL de SF 0,9% | Administrar a 8,3 mL/hora em BIC - Por 24 horas.</v>
      </c>
      <c r="D149" s="25"/>
      <c r="E149" s="27"/>
      <c r="F149" s="27"/>
    </row>
    <row r="150" spans="1:6" ht="27.75" x14ac:dyDescent="0.2">
      <c r="A150" s="57" t="s">
        <v>165</v>
      </c>
      <c r="B150" s="55" t="str">
        <f>"Administrar "&amp;ROUND((B2 * 3 * 24) / 50, 2) &amp; " mL de fentanil + " &amp; ROUND(100 - ((B2 * 3 * 24) / 50), 2) &amp; " mL de SF 0,9% | Administrar a " &amp; ROUND(100 / 24, 1) &amp; " mL/hora em BIC - Por 24 horas."</f>
        <v>Administrar 14,4 mL de fentanil + 85,6 mL de SF 0,9% | Administrar a 4,2 mL/hora em BIC - Por 24 horas.</v>
      </c>
      <c r="D150" s="25"/>
      <c r="E150" s="27"/>
      <c r="F150" s="27"/>
    </row>
    <row r="151" spans="1:6" ht="27.75" x14ac:dyDescent="0.2">
      <c r="A151" s="57" t="s">
        <v>166</v>
      </c>
      <c r="B151" s="55" t="str">
        <f>"Administrar "&amp;ROUND((B2 * 10 * 24) / 10000, 2) &amp; " mL de morfina + " &amp; ROUND(100 - ((B2 * 10 * 24) / 10000), 2) &amp; " mL de SF 0,9% | Administrar a " &amp; ROUND(100 / 24, 1) &amp; " mL/hora em BIC - Por 24 horas."</f>
        <v>Administrar 0,24 mL de morfina + 99,76 mL de SF 0,9% | Administrar a 4,2 mL/hora em BIC - Por 24 horas.</v>
      </c>
      <c r="D151" s="25"/>
      <c r="E151" s="27"/>
      <c r="F151" s="27"/>
    </row>
    <row r="152" spans="1:6" ht="27.75" x14ac:dyDescent="0.2">
      <c r="A152" s="57" t="s">
        <v>167</v>
      </c>
      <c r="B152" s="55" t="str">
        <f>"Administrar "&amp;ROUND((B2 * 0.3 * 24) / 5, 2) &amp; " mL de midazolan + " &amp; ROUND(100 - ((B2 * 0.3 * 24) / 5), 2) &amp; " mL de SF 0,9% | Administrar a " &amp; ROUND(100 / 24, 1) &amp; " mL/hora em BIC - Por 24 horas."</f>
        <v>Administrar 14,4 mL de midazolan + 85,6 mL de SF 0,9% | Administrar a 4,2 mL/hora em BIC - Por 24 horas.</v>
      </c>
      <c r="D152" s="25"/>
      <c r="E152" s="27"/>
      <c r="F152" s="27"/>
    </row>
    <row r="153" spans="1:6" ht="27.75" x14ac:dyDescent="0.2">
      <c r="A153" s="57" t="s">
        <v>168</v>
      </c>
      <c r="B153" s="55" t="str">
        <f>"Administrar "&amp;ROUND((B2 * 10 * 1440) / 50000, 2) &amp; " mL de ketamine + " &amp; ROUND(150 - ((B2 * 10 * 1440) / 50000), 2) &amp; " mL de SF 0,9% | Administrar a " &amp; ROUND(150 / 24, 1) &amp; " mL/hora em BIC - Por 24 horas."</f>
        <v>Administrar 2,88 mL de ketamine + 147,12 mL de SF 0,9% | Administrar a 6,3 mL/hora em BIC - Por 24 horas.</v>
      </c>
      <c r="D153" s="25"/>
      <c r="E153" s="27"/>
      <c r="F153" s="27"/>
    </row>
    <row r="154" spans="1:6" ht="54.75" x14ac:dyDescent="0.2">
      <c r="A154" s="57" t="s">
        <v>169</v>
      </c>
      <c r="B154" s="55" t="str">
        <f>"Dose de ataque =&gt; Administrar " &amp; ROUND((B2 * 15) / 500, 2) &amp; " mL de salbutamol diluido em  " &amp; ROUND(10 - ((B2 * 15) / 500), 2) &amp; " mL de SF 0,9% infundir em 5 minutos. | Dose de infusão contínua =&gt; Administrar " &amp; ROUND((B2 * 5 * 24) / 500, 2) &amp; " mL de salbutamol diluido em  " &amp; ROUND(50 - ((B2 * 5 * 24) / 500), 2) &amp; " mL de SF 0,9% infundir a " &amp; ROUND(50 / 24, 1) &amp; " mL/hora em BIC - Por 24 horas."</f>
        <v>Dose de ataque =&gt; Administrar 0,3 mL de salbutamol diluido em  9,7 mL de SF 0,9% infundir em 5 minutos. | Dose de infusão contínua =&gt; Administrar 2,4 mL de salbutamol diluido em  47,6 mL de SF 0,9% infundir a 2,1 mL/hora em BIC - Por 24 horas.</v>
      </c>
      <c r="D154" s="25"/>
      <c r="E154" s="27"/>
      <c r="F154" s="27"/>
    </row>
    <row r="155" spans="1:6" ht="27.75" x14ac:dyDescent="0.2">
      <c r="A155" s="84" t="s">
        <v>170</v>
      </c>
      <c r="B155" s="55" t="str">
        <f>"Administrar "&amp;ROUND((B2 * 0.2 * 24) / 100, 2) &amp; " mL de dexmedetomidina + " &amp; ROUND(150 - ((B2 * 0.2 * 24) / 100), 2) &amp; " mL de SF 0,9% | Administrar a " &amp; ROUND(150 / 24, 1) &amp; " mL/hora em BIC - Por 24 horas."</f>
        <v>Administrar 0,48 mL de dexmedetomidina + 149,52 mL de SF 0,9% | Administrar a 6,3 mL/hora em BIC - Por 24 horas.</v>
      </c>
      <c r="D155" s="25"/>
      <c r="E155" s="27"/>
      <c r="F155" s="171"/>
    </row>
    <row r="156" spans="1:6" x14ac:dyDescent="0.2">
      <c r="A156" s="170" t="s">
        <v>171</v>
      </c>
      <c r="B156" s="59" t="s">
        <v>172</v>
      </c>
      <c r="C156" s="65" t="s">
        <v>173</v>
      </c>
      <c r="D156" s="59" t="s">
        <v>174</v>
      </c>
      <c r="E156" s="59" t="s">
        <v>175</v>
      </c>
      <c r="F156" s="27"/>
    </row>
    <row r="157" spans="1:6" ht="27.75" x14ac:dyDescent="0.2">
      <c r="A157" s="117" t="s">
        <v>176</v>
      </c>
      <c r="B157" s="45" t="str">
        <f>"SG5%: "&amp;ROUND(((100*B2)*(50-10))/45,1)&amp;" ML | GH50%: "&amp;ROUND(((100*B2)*(10-5))/45,1)&amp;" ML | NaCl 20%: "&amp;ROUND((B2*2)/3.4,1)&amp;" ML | KCl 19,1%: "&amp;ROUND((B2*2)/2.5,1)&amp;" ML | GLUCA 10%: "&amp;ROUND((B2*1)/0.5,1)&amp;" ML | BIC: "&amp;ROUND(((((100*B2)*(50-10))/45)+(((100*B2)*(10-5))/45)+((B2*2)/3.4)+((B2*2)/2.5)+((B2*1)/0.5))/24,0)&amp;" ML/H"</f>
        <v>SG5%: 888,9 ML | GH50%: 111,1 ML | NaCl 20%: 5,9 ML | KCl 19,1%: 8 ML | GLUCA 10%: 20 ML | BIC: 43 ML/H</v>
      </c>
      <c r="C157" s="129" t="str">
        <f>"SG5%: "&amp;ROUND(0.8*((100*B2)*(50-10)/45),1)&amp;" ML | GH50%: "&amp;ROUND(0.8*((100*B2)*(10-5)/45),1)&amp;" ML | NaCl 20%: "&amp;ROUND(0.8*((B2*2)/3.4),1)&amp;" ML | KCl 19,1%: "&amp;ROUND(0.8*((B2*2)/2.5),1)&amp;" ML | GLUCA 10%: "&amp;ROUND(0.8*((B2*1)/0.5),1)&amp;" ML | BIC: "&amp;ROUND(0.8*((((100*B2)*(50-10))/45)+(((100*B2)*(10-5))/45)+((B2*2)/3.4)+((B2*2)/2.5)+((B2*1)/0.5))/24,0)&amp;" ML/H"</f>
        <v>SG5%: 711,1 ML | GH50%: 88,9 ML | NaCl 20%: 4,7 ML | KCl 19,1%: 6,4 ML | GLUCA 10%: 16 ML | BIC: 34 ML/H</v>
      </c>
      <c r="D157" s="45" t="str">
        <f>"SG5%: "&amp;ROUND(0.5*((100*B2)*(50-10)/45),1)&amp;" ML | GH50%: "&amp;ROUND(0.5*((100*B2)*(10-5)/45),1)&amp;" ML | NaCl 20%: "&amp;ROUND(0.5*((B2*2)/3.4),1)&amp;" ML | KCl 19,1%: "&amp;ROUND(0.5*((B2*2)/2.5),1)&amp;" ML | GLUCA 10%: "&amp;ROUND(0.5*((B2*1)/0.5),1)&amp;" ML | BIC: "&amp;ROUND(0.5*((((100*B2)*(50-10))/45)+(((100*B2)*(10-5))/45)+((B2*2)/3.4)+((B2*2)/2.5)+((B2*1)/0.5))/24,0)&amp;" ML/H"</f>
        <v>SG5%: 444,4 ML | GH50%: 55,6 ML | NaCl 20%: 2,9 ML | KCl 19,1%: 4 ML | GLUCA 10%: 10 ML | BIC: 22 ML/H</v>
      </c>
      <c r="E157" s="45" t="str">
        <f>"SG5%: "&amp;ROUND(0.3*((100*B2)*(50-10)/45),1)&amp;" ML | GH50%: "&amp;ROUND(0.3*((100*B2)*(10-5)/45),1)&amp;" ML | NaCl 20%: "&amp;ROUND(0.3*((B2*2)/3.4),1)&amp;" ML | KCl 19,1%: "&amp;ROUND(0.3*((B2*2)/2.5),1)&amp;" ML | GLUCA 10%: "&amp;ROUND(0.3*((B2*1)/0.3),1)&amp;" ML | BIC: "&amp;ROUND(0.3*((((100*B2)*(50-10))/45)+(((100*B2)*(10-5))/45)+((B2*2)/3.4)+((B2*2)/2.5)+((B2*1)/0.3))/24,0)&amp;" ML/H"</f>
        <v>SG5%: 266,7 ML | GH50%: 33,3 ML | NaCl 20%: 1,8 ML | KCl 19,1%: 2,4 ML | GLUCA 10%: 10 ML | BIC: 13 ML/H</v>
      </c>
      <c r="F157" s="27"/>
    </row>
    <row r="158" spans="1:6" x14ac:dyDescent="0.2">
      <c r="A158" s="170" t="s">
        <v>177</v>
      </c>
      <c r="B158" s="59" t="s">
        <v>178</v>
      </c>
      <c r="C158" s="65" t="s">
        <v>179</v>
      </c>
      <c r="D158" s="59" t="s">
        <v>180</v>
      </c>
      <c r="E158" s="59" t="s">
        <v>181</v>
      </c>
      <c r="F158" s="27"/>
    </row>
    <row r="159" spans="1:6" x14ac:dyDescent="0.2">
      <c r="A159" s="117" t="s">
        <v>182</v>
      </c>
      <c r="B159" s="45" t="str">
        <f>ROUND(IF(B2&lt;=10,B2*100,IF(B2&lt;=20,1000+(B2-10)*50,1500+(B2-20)*20))/250,0)*250&amp;" ML SG5% |"&amp;ROUND((136*ROUND(IF(B2&lt;=10,B2*100,IF(B2&lt;=20,1000+(B2-10)*50,1500+(B2-20)*20))/250,0)*250)/1000/3.4,1)&amp;" ML NaCl 20% |"&amp;ROUND((25*ROUND(IF(B2&lt;=10,B2*100,IF(B2&lt;=20,1000+(B2-10)*50,1500+(B2-20)*20))/250,0)*250)/1000/1.5,1)&amp;" ML KCl 15% |"&amp;ROUND(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1000 ML SG5% |40 ML NaCl 20% |16,7 ML KCl 15% |44 ML/H BIC</v>
      </c>
      <c r="C159" s="130" t="str">
        <f>ROUND(0.8*ROUND(IF(B2&lt;=10,B2*100,IF(B2&lt;=20,1000+(B2-10)*50,1500+(B2-20)*20))/250,0)*250,0)&amp;" ML SG5% |"&amp;ROUND(0.8*(136*ROUND(IF(B2&lt;=10,B2*100,IF(B2&lt;=20,1000+(B2-10)*50,1500+(B2-20)*20))/250,0)*250)/1000/3.4,1)&amp;" ML NaCl 20% |"&amp;ROUND(0.8*(25*ROUND(IF(B2&lt;=10,B2*100,IF(B2&lt;=20,1000+(B2-10)*50,1500+(B2-20)*20))/250,0)*250)/1000/1.5,1)&amp;" ML KCl 15% |"&amp;ROUND(0.8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800 ML SG5% |32 ML NaCl 20% |13,3 ML KCl 15% |35 ML/H BIC</v>
      </c>
      <c r="D159" s="28" t="str">
        <f>ROUND(0.5*ROUND(IF(B2&lt;=10,B2*100,IF(B2&lt;=20,1000+(B2-10)*50,1500+(B2-20)*20))/250,0)*250,0)&amp;" ML SG5% |"&amp;ROUND(0.5*(136*ROUND(IF(B2&lt;=10,B2*100,IF(B2&lt;=20,1000+(B2-10)*50,1500+(B2-20)*20))/250,0)*250)/1000/3.4,1)&amp;" ML NaCl 20% |"&amp;ROUND(0.5*(25*ROUND(IF(B2&lt;=10,B2*100,IF(B2&lt;=20,1000+(B2-10)*50,1500+(B2-20)*20))/250,0)*250)/1000/1.5,1)&amp;" ML KCl 15% |"&amp;ROUND(0.5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500 ML SG5% |20 ML NaCl 20% |8,3 ML KCl 15% |22 ML/H BIC</v>
      </c>
      <c r="E159" s="28" t="str">
        <f>ROUND(0.3*ROUND(IF(B2&lt;=10,B2*100,IF(B2&lt;=20,1000+(B2-10)*50,1500+(B2-20)*20))/250,0)*250,0)&amp;" ML SG5% |"&amp;ROUND(0.3*(136*ROUND(IF(B2&lt;=10,B2*100,IF(B2&lt;=20,1000+(B2-10)*50,1500+(B2-20)*20))/250,0)*250)/1000/3.4,1)&amp;" ML NaCl 20% |"&amp;ROUND(0.3*(25*ROUND(IF(B2&lt;=10,B2*100,IF(B2&lt;=20,1000+(B2-10)*50,1500+(B2-20)*20))/250,0)*250)/1000/1.5,1)&amp;" ML KCl 15% |"&amp;ROUND(0.3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300 ML SG5% |12 ML NaCl 20% |5 ML KCl 15% |13 ML/H BIC</v>
      </c>
      <c r="F159" s="27"/>
    </row>
    <row r="160" spans="1:6" x14ac:dyDescent="0.2">
      <c r="A160" s="170" t="s">
        <v>183</v>
      </c>
      <c r="B160" s="60"/>
      <c r="C160" s="131"/>
      <c r="D160" s="59"/>
      <c r="E160" s="60"/>
      <c r="F160" s="27"/>
    </row>
    <row r="161" spans="1:5" ht="27.75" x14ac:dyDescent="0.2">
      <c r="A161" s="109" t="s">
        <v>184</v>
      </c>
      <c r="B161" s="55" t="str">
        <f>"Administrar "&amp;ROUND(IF(B2&lt;=20, B2*0.1/0.4, 2/0.4), 2) &amp; " mL IM/IV/SUBCUTÂNEO pode ser repetido a cada 3 minutos se necessário."</f>
        <v>Administrar 2,5 mL IM/IV/SUBCUTÂNEO pode ser repetido a cada 3 minutos se necessário.</v>
      </c>
      <c r="D161" s="25"/>
      <c r="E161" s="27"/>
    </row>
    <row r="162" spans="1:5" ht="27.75" x14ac:dyDescent="0.2">
      <c r="A162" s="57" t="s">
        <v>185</v>
      </c>
      <c r="B162" s="55" t="str">
        <f>"Administrar "&amp;ROUND(IF(B2&lt;=20, B2*0.1/1, 2/1), 2) &amp; " mL IM/IV/SUBCUTÂNEO pode ser repetido a cada 3 minutos se necessário."</f>
        <v>Administrar 1 mL IM/IV/SUBCUTÂNEO pode ser repetido a cada 3 minutos se necessário.</v>
      </c>
      <c r="D162" s="25"/>
      <c r="E162" s="171"/>
    </row>
    <row r="163" spans="1:5" ht="47.25" customHeight="1" x14ac:dyDescent="0.2">
      <c r="A163" s="57" t="s">
        <v>186</v>
      </c>
      <c r="B163" s="55" t="str">
        <f>"Administrar "&amp;ROUND(IF(B2*0.01&lt;=0.2, B2*0.01/0.1, 0.2/0.1), 2) &amp; " mL infundido por 15 segundos. Pode ser repetido " &amp; ROUND(IF(B2*0.01&lt;=0.2, B2*0.01/0.1, 0.2/0.1), 2) &amp; " mL após 45 segundos e a cada minuto. Dose cumulativa maxima " &amp; ROUND(IF(B2*0.05&lt;=1, B2*0.05/0.1, 1/0.1), 2) &amp; " mL"</f>
        <v>Administrar 1 mL infundido por 15 segundos. Pode ser repetido 1 mL após 45 segundos e a cada minuto. Dose cumulativa maxima 5 mL</v>
      </c>
      <c r="C163" s="48"/>
      <c r="D163" s="48"/>
      <c r="E163" s="27"/>
    </row>
    <row r="164" spans="1:5" x14ac:dyDescent="0.2">
      <c r="A164" s="112" t="s">
        <v>187</v>
      </c>
      <c r="B164" s="64"/>
      <c r="C164" s="48"/>
      <c r="D164" s="48"/>
      <c r="E164" s="27"/>
    </row>
    <row r="165" spans="1:5" ht="41.25" x14ac:dyDescent="0.2">
      <c r="A165" s="85" t="s">
        <v>188</v>
      </c>
      <c r="B165" s="55" t="str">
        <f>"Diluir "&amp;ROUNDUP(IF((B2*0.13)&lt;=5,(B2*0.13)/0.125,5/0.125),0)&amp;" gotas + 3 mL de SF 0,9%, realizar nebulização por 20 minutos. Nos casos agudos e/ou de exacerbação do broncoespasmo, utilizar a solução (por nebulização) a cada 20 minutos até estabilização do quadro."</f>
        <v>Diluir 11 gotas + 3 mL de SF 0,9%, realizar nebulização por 20 minutos. Nos casos agudos e/ou de exacerbação do broncoespasmo, utilizar a solução (por nebulização) a cada 20 minutos até estabilização do quadro.</v>
      </c>
      <c r="C165" s="48"/>
      <c r="D165" s="48"/>
      <c r="E165" s="27"/>
    </row>
    <row r="166" spans="1:5" ht="41.25" x14ac:dyDescent="0.2">
      <c r="A166" s="56" t="s">
        <v>189</v>
      </c>
      <c r="B166" s="55" t="str">
        <f>"Administrar " &amp;IF(B1&lt;6,"Contraindicado", IF(AND(B1&gt;=6,B1&lt;=12),"2 puffs por via inalatória de 12/12 horas. Agite o frasco antes de usar. Inspire profundamente ao pressionar o frasco e segure a respiração. Enxague a boca após o uso.", "4 puffs por via inalatória de 12/12 horas. Agite o frasco antes de usar. Inspire profundamente ao pressionar o frasco e segure a respiração. Enxague a boca após o uso."))</f>
        <v>Administrar 2 puffs por via inalatória de 12/12 horas. Agite o frasco antes de usar. Inspire profundamente ao pressionar o frasco e segure a respiração. Enxague a boca após o uso.</v>
      </c>
      <c r="C166" s="48"/>
      <c r="D166" s="48"/>
      <c r="E166" s="27"/>
    </row>
    <row r="167" spans="1:5" ht="54.75" x14ac:dyDescent="0.2">
      <c r="A167" s="85" t="s">
        <v>190</v>
      </c>
      <c r="B167" s="55" t="str">
        <f>"Aplicar "&amp;ROUNDUP(MIN(B2/3,10),0)&amp;" jatos (puffs), por via inalatória, de 6/6 horas. "&amp;IF(B1&lt;4,"Com o uso de espaçador + máscara facial.","Sem necessidade de máscara facial.")&amp;" Observação: Nos casos agudos e/ou de exacerbação do broncoespasmo, repetir a dose inalatória a cada 20 minutos até estabilização do quadro."</f>
        <v>Aplicar 4 jatos (puffs), por via inalatória, de 6/6 horas. Sem necessidade de máscara facial. Observação: Nos casos agudos e/ou de exacerbação do broncoespasmo, repetir a dose inalatória a cada 20 minutos até estabilização do quadro.</v>
      </c>
      <c r="C167" s="142"/>
      <c r="D167" s="48"/>
      <c r="E167" s="27"/>
    </row>
    <row r="168" spans="1:5" ht="27.75" x14ac:dyDescent="0.2">
      <c r="A168" s="85" t="s">
        <v>191</v>
      </c>
      <c r="B168" s="55" t="str">
        <f>"Diluir " &amp; ROUND(IF(B2 / 2 &lt;= 10, B2 / 2, 10), 0) &amp; " gotas + 3 mL de SF 0,9% e realizar nebulização, inalando até a solução ser totalmente consumida."</f>
        <v>Diluir 5 gotas + 3 mL de SF 0,9% e realizar nebulização, inalando até a solução ser totalmente consumida.</v>
      </c>
      <c r="D168" s="25"/>
      <c r="E168" s="171"/>
    </row>
    <row r="169" spans="1:5" ht="54.75" x14ac:dyDescent="0.2">
      <c r="A169" s="145" t="s">
        <v>192</v>
      </c>
      <c r="B169" s="143" t="str">
        <f>"Diluir "&amp;ROUNDDOWN(MIN(B2,20),0)&amp;" gotas + 3 mL de SF 0,9% e realizar nebulização, inalando até a solução ser totalmente consumida, de 6/6 horas. Nos casos agudos e/ou de exacerbação do broncoespasmo, utilizar a solução (por nebulização) a cada 20 minutos até estabilização do quadro."</f>
        <v>Diluir 10 gotas + 3 mL de SF 0,9% e realizar nebulização, inalando até a solução ser totalmente consumida, de 6/6 horas. Nos casos agudos e/ou de exacerbação do broncoespasmo, utilizar a solução (por nebulização) a cada 20 minutos até estabilização do quadro.</v>
      </c>
      <c r="D169" s="25"/>
      <c r="E169" s="171"/>
    </row>
    <row r="170" spans="1:5" ht="27.75" x14ac:dyDescent="0.2">
      <c r="A170" s="144" t="s">
        <v>193</v>
      </c>
      <c r="B170" s="143" t="str">
        <f>IF(B1&gt;12,"Aerossol: Realizar 2 inalações de 12/12 horas; Disco: Realizar 1 inalação de 12/12 horas.",IF(B1&gt;4,"Aerossol: Realizar 2 inalações de 12/12 horas; Disco: Realizar 1 inalação de 12/12 horas.", "Idade inferior a 4 anos, uso não indicado."))</f>
        <v>Aerossol: Realizar 2 inalações de 12/12 horas; Disco: Realizar 1 inalação de 12/12 horas.</v>
      </c>
      <c r="D170" s="25"/>
      <c r="E170" s="171"/>
    </row>
    <row r="171" spans="1:5" ht="27.75" x14ac:dyDescent="0.2">
      <c r="A171" s="56" t="s">
        <v>194</v>
      </c>
      <c r="B171" s="139" t="str">
        <f>IF(B1&lt;0.5,"Contraindicado para pacientes abaixo de 6 meses de vida.", "Dar 1 sachê ao dia em jejum por 10 dias consecutivos. Fazer intervalo de 20 dias e retornar por mais 10 dias. Repetir o ciclo por 3 meses seguidos.")</f>
        <v>Dar 1 sachê ao dia em jejum por 10 dias consecutivos. Fazer intervalo de 20 dias e retornar por mais 10 dias. Repetir o ciclo por 3 meses seguidos.</v>
      </c>
      <c r="D171" s="25"/>
      <c r="E171" s="171"/>
    </row>
    <row r="172" spans="1:5" x14ac:dyDescent="0.2">
      <c r="A172" s="102" t="s">
        <v>195</v>
      </c>
      <c r="B172" s="60"/>
      <c r="D172" s="25"/>
      <c r="E172" s="171"/>
    </row>
    <row r="173" spans="1:5" x14ac:dyDescent="0.2">
      <c r="A173" s="87" t="s">
        <v>196</v>
      </c>
      <c r="B173" s="55" t="str">
        <f>"Dar "&amp;IF(B1&gt;=5, "1 flaconete por via oral uma vez ao dia", "1 flaconete por via oral uma vez ao dia.")</f>
        <v>Dar 1 flaconete por via oral uma vez ao dia</v>
      </c>
      <c r="D173" s="25"/>
      <c r="E173" s="171"/>
    </row>
    <row r="174" spans="1:5" x14ac:dyDescent="0.2">
      <c r="A174" s="57" t="s">
        <v>197</v>
      </c>
      <c r="B174" s="55" t="str">
        <f>"Tomar "&amp;ROUND(B2 * IF(B1&lt;5, 5, 10), 0) &amp; " mL SRO 0,9% de reidratação oral, tomar de 4 em 4 horas."</f>
        <v>Tomar 100 mL SRO 0,9% de reidratação oral, tomar de 4 em 4 horas.</v>
      </c>
      <c r="D174" s="25"/>
      <c r="E174" s="171"/>
    </row>
    <row r="175" spans="1:5" x14ac:dyDescent="0.2">
      <c r="A175" s="57" t="s">
        <v>198</v>
      </c>
      <c r="B175" s="55" t="str">
        <f>"Tomar "&amp;IF(B1&lt;6, ROUND(10 / (10 / 2.5), 2), ROUND(20 / (10 / 2.5), 2)) &amp; " mL de xarope de zinco, uma vez por dia. Por 7 dias."</f>
        <v>Tomar 5 mL de xarope de zinco, uma vez por dia. Por 7 dias.</v>
      </c>
      <c r="D175" s="25"/>
      <c r="E175" s="171"/>
    </row>
    <row r="176" spans="1:5" x14ac:dyDescent="0.2">
      <c r="A176" s="57" t="s">
        <v>199</v>
      </c>
      <c r="B176" s="55" t="str">
        <f>"Dar "&amp;IF(B1&gt;=5, "1 flaconete por via oral uma vez ao dia. Por 7 dias.", "1 flaconete por via oral uma vez ao dia. Por 7 dias.")</f>
        <v>Dar 1 flaconete por via oral uma vez ao dia. Por 7 dias.</v>
      </c>
      <c r="D176" s="25"/>
      <c r="E176" s="171"/>
    </row>
    <row r="177" spans="1:4" ht="27.75" x14ac:dyDescent="0.2">
      <c r="A177" s="57" t="s">
        <v>200</v>
      </c>
      <c r="B177" s="55" t="str">
        <f>IF(B1&gt;18, "100 mg Tomar 1 sachê de 100 mg por via oral de 8/8 horas. Por no máximo 7 dias.", IF(B2&lt;=25, "10 mg Tomar 1 sachê de 10 mg por via oral de 8/8 horas. Por no máximo 7 dias.", "30 mg Tomar 1 sachê de 30 mg por via oral de 8/8 horas. Por no máximo 7 dias."))</f>
        <v>10 mg Tomar 1 sachê de 10 mg por via oral de 8/8 horas. Por no máximo 7 dias.</v>
      </c>
      <c r="D177" s="25"/>
    </row>
    <row r="178" spans="1:4" x14ac:dyDescent="0.2">
      <c r="A178" s="102" t="s">
        <v>201</v>
      </c>
      <c r="B178" s="60"/>
      <c r="D178" s="25"/>
    </row>
    <row r="179" spans="1:4" ht="27.75" x14ac:dyDescent="0.2">
      <c r="A179" s="57" t="s">
        <v>202</v>
      </c>
      <c r="B179" s="55" t="str">
        <f>"Tomar "&amp;ROUNDDOWN(MIN(B2*0.5,60)/3,1)&amp;" mL por via oral de 8/8 horas. (Observação: 1 frasco contém 120 mL)."</f>
        <v>Tomar 1,6 mL por via oral de 8/8 horas. (Observação: 1 frasco contém 120 mL).</v>
      </c>
      <c r="D179" s="25"/>
    </row>
    <row r="180" spans="1:4" ht="45.75" customHeight="1" x14ac:dyDescent="0.2">
      <c r="A180" s="104" t="s">
        <v>203</v>
      </c>
      <c r="B180" s="55" t="str">
        <f>IF(B2&lt;11,"Contraindicado","Administrar "&amp;IF(B2&lt;=22,"33",IF(B2&lt;=43,"66","100"))&amp;" mL por via retal. Observação: Orientar a criança ou responsável para reter a solução por cerca de 2 a 5 minutos antes da evacuação.")</f>
        <v>Contraindicado</v>
      </c>
      <c r="C180" s="27"/>
      <c r="D180" s="25"/>
    </row>
    <row r="181" spans="1:4" x14ac:dyDescent="0.2">
      <c r="A181" s="57" t="s">
        <v>204</v>
      </c>
      <c r="B181" s="55" t="str">
        <f>IF(B1&lt;2,"Contraindicado",IF(B1&lt;=5,"Tomar 5 a 15 mL por via oral, uma vez ao dia, preferencialmente à noite.",IF(B1&lt;=11,"Tomar 15 a 30 mL por via oral, uma vez ao dia, preferencialmente à noite.",IF(B1&gt;=12,"Tomar 30 a 60 mL por via oral, uma vez ao dia, preferencialmente à noite.", "Idade inválida"))))</f>
        <v>Tomar 15 a 30 mL por via oral, uma vez ao dia, preferencialmente à noite.</v>
      </c>
      <c r="C181" s="27"/>
      <c r="D181" s="25"/>
    </row>
    <row r="182" spans="1:4" ht="27.75" x14ac:dyDescent="0.2">
      <c r="A182" s="104" t="s">
        <v>205</v>
      </c>
      <c r="B182" s="55" t="str">
        <f>"Dissolver " &amp; ROUNDUP(IF(B2*1&gt;28,28,B2*1)/14,0) &amp; " sachê(s) com " &amp; ROUNDUP(IF(B2*1&gt;28,28,B2*1)/14,0)*100 &amp; " mL de água filtrada. Ingerir " &amp; ROUNDUP(IF(B2*1&gt;28,28,B2*1)/0.14,0) &amp; " mL da solução por via oral. Uma vez ao dia."</f>
        <v>Dissolver 1 sachê(s) com 100 mL de água filtrada. Ingerir 72 mL da solução por via oral. Uma vez ao dia.</v>
      </c>
      <c r="C182" s="27"/>
      <c r="D182" s="25"/>
    </row>
    <row r="183" spans="1:4" ht="41.25" x14ac:dyDescent="0.2">
      <c r="A183" s="57" t="s">
        <v>206</v>
      </c>
      <c r="B183" s="55" t="str">
        <f>IF(B2&lt;1,"Contraindicado para crianças menores de 1 ano.", "Tomar "&amp;ROUND(MIN(B2*0.5,22.5),1)&amp;" mL do óleo mineral puro por via oral de 12/12 horas. De preferência em jejum ou entre as refeições para melhores resultados. Observação: Evitar a ingestão noturna.")</f>
        <v>Tomar 5 mL do óleo mineral puro por via oral de 12/12 horas. De preferência em jejum ou entre as refeições para melhores resultados. Observação: Evitar a ingestão noturna.</v>
      </c>
      <c r="C183" s="27"/>
      <c r="D183" s="25"/>
    </row>
    <row r="184" spans="1:4" ht="27.75" x14ac:dyDescent="0.2">
      <c r="A184" s="57" t="s">
        <v>207</v>
      </c>
      <c r="B184" s="55" t="str">
        <f>IF(B1&lt;2,"Contraindicado", "Utilizar "&amp;MIN(B2*10,500)&amp;" mL por via retal. Orientar o paciente a reter a substância por 2 minutos ou até sentir a vontade de evacuar.")</f>
        <v>Utilizar 100 mL por via retal. Orientar o paciente a reter a substância por 2 minutos ou até sentir a vontade de evacuar.</v>
      </c>
      <c r="C184" s="27"/>
      <c r="D184" s="25"/>
    </row>
    <row r="185" spans="1:4" x14ac:dyDescent="0.2">
      <c r="A185" s="57" t="s">
        <v>208</v>
      </c>
      <c r="B185" s="55" t="str">
        <f>IF(B1&lt;2,"Contraindicado", "Tomar "&amp;MIN(B2*1.4/2,40/2)&amp;" mL por via oral de 12/12 horas. Por 3 a 5 dias, ou até evacuar.")</f>
        <v>Tomar 7 mL por via oral de 12/12 horas. Por 3 a 5 dias, ou até evacuar.</v>
      </c>
      <c r="C185" s="27"/>
      <c r="D185" s="25"/>
    </row>
    <row r="186" spans="1:4" x14ac:dyDescent="0.2">
      <c r="A186" s="170" t="s">
        <v>209</v>
      </c>
      <c r="B186" s="60"/>
      <c r="C186" s="27"/>
      <c r="D186" s="25"/>
    </row>
    <row r="187" spans="1:4" ht="41.25" x14ac:dyDescent="0.2">
      <c r="A187" s="109" t="s">
        <v>210</v>
      </c>
      <c r="B187" s="55" t="str">
        <f>"Diluir "&amp;ROUNDDOWN(MIN(MIN(B2*10,1000)/50,20),1)&amp;" mL + "&amp;IF(ROUNDDOWN(MIN(MIN(B2*10,1000)/50,20),1)&lt;=5,"50","100")&amp;" mL de SF 0,9% ou SG 5%. Administrar de 8/8 horas. Infundir a "&amp;ROUNDDOWN((ROUNDDOWN(MIN(MIN(B2*10,1000)/50,20),1)+IF(ROUNDDOWN(MIN(MIN(B2*10,1000)/50,20),1)&lt;=5,50,100))/(50/60),2)&amp;" mL/hora por via EV. (Observação: A administração endovenosa deverá ser o mais lenta possível)."</f>
        <v>Diluir 2 mL + 50 mL de SF 0,9% ou SG 5%. Administrar de 8/8 horas. Infundir a 62,4 mL/hora por via EV. (Observação: A administração endovenosa deverá ser o mais lenta possível).</v>
      </c>
      <c r="C187" s="27"/>
      <c r="D187" s="25"/>
    </row>
    <row r="188" spans="1:4" x14ac:dyDescent="0.2">
      <c r="A188" s="170" t="s">
        <v>211</v>
      </c>
      <c r="B188" s="60"/>
      <c r="C188" s="27"/>
      <c r="D188" s="25"/>
    </row>
    <row r="189" spans="1:4" ht="27.75" x14ac:dyDescent="0.2">
      <c r="A189" s="57" t="s">
        <v>212</v>
      </c>
      <c r="B189" s="28" t="str">
        <f>IF(B1&lt;=6,"Crianças até 6 anos de idade: Tomar 6 gotas por via oral uma vez ao dia. Todos os dias.", "Crianças acima de 6 anos de idade: Tomar 12 gotas por via oral uma vez ao dia. Todos os dias.")</f>
        <v>Crianças acima de 6 anos de idade: Tomar 12 gotas por via oral uma vez ao dia. Todos os dias.</v>
      </c>
      <c r="C189" s="27"/>
      <c r="D189" s="25"/>
    </row>
    <row r="190" spans="1:4" ht="22.5" customHeight="1" x14ac:dyDescent="0.2">
      <c r="A190" s="110" t="s">
        <v>213</v>
      </c>
      <c r="B190" s="28" t="str">
        <f>"Tomar "&amp;ROUNDUP(MIN(B2*3/100*20,120/100*20),0)&amp;" gotas por via oral uma vez ao dia."</f>
        <v>Tomar 6 gotas por via oral uma vez ao dia.</v>
      </c>
      <c r="C190" s="27"/>
      <c r="D190" s="25"/>
    </row>
    <row r="191" spans="1:4" x14ac:dyDescent="0.2">
      <c r="A191" s="118" t="s">
        <v>214</v>
      </c>
      <c r="B191" s="60"/>
      <c r="C191" s="27"/>
      <c r="D191" s="25"/>
    </row>
    <row r="192" spans="1:4" x14ac:dyDescent="0.2">
      <c r="A192" s="104" t="s">
        <v>215</v>
      </c>
      <c r="B192" s="28" t="str">
        <f>IF(B2&lt;1,"Contraindicado","Tomar "&amp;TEXT((B2*7.5)/20,"0,0")&amp;" mL por via oral de 12/12 horas. Por 3 dias.")</f>
        <v>Tomar 3,8 mL por via oral de 12/12 horas. Por 3 dias.</v>
      </c>
      <c r="C192" s="27"/>
      <c r="D192" s="25"/>
    </row>
    <row r="193" spans="1:4" ht="27.75" x14ac:dyDescent="0.2">
      <c r="A193" s="57" t="s">
        <v>216</v>
      </c>
      <c r="B193" s="55" t="str">
        <f>IF(B1&lt;2,"Contraindicado.", "Tomar "&amp;ROUNDUP(400/40,0)&amp;" mL por via oral. Dose única ou a cada 24/24 horas. Por 3 a 5 dias.")</f>
        <v>Tomar 10 mL por via oral. Dose única ou a cada 24/24 horas. Por 3 a 5 dias.</v>
      </c>
      <c r="C193" s="27"/>
      <c r="D193" s="25"/>
    </row>
    <row r="194" spans="1:4" x14ac:dyDescent="0.2">
      <c r="A194" s="104" t="s">
        <v>217</v>
      </c>
      <c r="B194" s="55" t="str">
        <f>"Tomar "&amp;IF(B2&lt;=24, "½ cp por via oral. Dose única", IF(B2&lt;=35, "1 cp por via oral. Dose única", IF(B2&lt;=50, "1½ cp por via oral. Dose única", IF(B2&lt;=65, "2 cp por via oral. Dose única", IF(B2&lt;=79, "2½ cp por via oral. Dose única", "3 cp por via oral. Dose única")))))</f>
        <v>Tomar ½ cp por via oral. Dose única</v>
      </c>
      <c r="C194" s="27"/>
      <c r="D194" s="25"/>
    </row>
    <row r="195" spans="1:4" x14ac:dyDescent="0.2">
      <c r="A195" s="119" t="s">
        <v>218</v>
      </c>
      <c r="B195" s="141" t="str">
        <f>IF(B2&lt;1,"Contraindicado",IF(B2&lt;2," ", "Tomar 5 mL por via oral de 12/12 horas. Por 3 dias."))</f>
        <v>Tomar 5 mL por via oral de 12/12 horas. Por 3 dias.</v>
      </c>
      <c r="C195" s="147" t="s">
        <v>219</v>
      </c>
      <c r="D195" s="25"/>
    </row>
    <row r="196" spans="1:4" ht="33" customHeight="1" x14ac:dyDescent="0.2">
      <c r="A196" s="57" t="s">
        <v>220</v>
      </c>
      <c r="B196" s="141" t="str">
        <f>IF(B2&lt;10,"Não recomendado", "Tomar "&amp;MIN(B2*1,60)&amp;" mL por via oral em dose única diária. Recomenda-se a repetição da dose cerca de 2 semanas após a primeira administração.")</f>
        <v>Tomar 10 mL por via oral em dose única diária. Recomenda-se a repetição da dose cerca de 2 semanas após a primeira administração.</v>
      </c>
      <c r="C196" s="147" t="s">
        <v>221</v>
      </c>
      <c r="D196" s="33"/>
    </row>
    <row r="197" spans="1:4" ht="27.75" x14ac:dyDescent="0.2">
      <c r="A197" s="57" t="s">
        <v>222</v>
      </c>
      <c r="B197" s="28" t="str">
        <f>"Tomar "&amp;ROUNDUP(MIN(B2*30/30,2000/30),2)&amp;" mL por via oral uma vez ao dia, preferencialmente à noite, após o jantar. Em dose única ou Por 5 a 7 dias."</f>
        <v>Tomar 10 mL por via oral uma vez ao dia, preferencialmente à noite, após o jantar. Em dose única ou Por 5 a 7 dias.</v>
      </c>
      <c r="C197" s="27"/>
      <c r="D197" s="25"/>
    </row>
    <row r="198" spans="1:4" x14ac:dyDescent="0.2">
      <c r="A198" s="120" t="s">
        <v>223</v>
      </c>
      <c r="B198" s="60"/>
      <c r="C198" s="27"/>
      <c r="D198" s="25"/>
    </row>
    <row r="199" spans="1:4" ht="27.75" x14ac:dyDescent="0.2">
      <c r="A199" s="57" t="s">
        <v>224</v>
      </c>
      <c r="B199" s="55" t="str">
        <f>"Utilizar "&amp;ROUNDDOWN(MIN(B2*0.5,3),2)&amp;" mL de adrenalina 1 mg/mL diluída em 3 mL de SF 0,9% por nebulização. Pode ser repetido a cada 20 minutos até 3 vezes em 1 hora."</f>
        <v>Utilizar 3 mL de adrenalina 1 mg/mL diluída em 3 mL de SF 0,9% por nebulização. Pode ser repetido a cada 20 minutos até 3 vezes em 1 hora.</v>
      </c>
      <c r="C199" s="27"/>
      <c r="D199" s="25"/>
    </row>
    <row r="200" spans="1:4" x14ac:dyDescent="0.2">
      <c r="A200" s="84" t="s">
        <v>225</v>
      </c>
      <c r="B200" s="55" t="str">
        <f>"Utilizar "&amp;IF(B1&lt;18,"3 a 5 mL de água destilada pura","3 a 5 mL de água destilada pura ou conforme orientação médica")&amp;" por nebulização."</f>
        <v>Utilizar 3 a 5 mL de água destilada pura por nebulização.</v>
      </c>
      <c r="C200" s="27"/>
      <c r="D200" s="25"/>
    </row>
    <row r="201" spans="1:4" ht="27.75" x14ac:dyDescent="0.2">
      <c r="A201" s="84" t="s">
        <v>226</v>
      </c>
      <c r="B201" s="55" t="str">
        <f>IF(B1&lt;1,"Utilizar 1 a 2 mL de NaCl 20% diluído em 1 a 2 mL de SF 0,9%. Nebulização de 8/8 horas. Pode repetir de 20/20 minutos até 3 vezes em 1 hora.",
IF(B1&lt;18,"Utilizar 3 mL de NaCl 20% puro ou diluído em SF 0,9%. Nebulização de 8/8 horas. Pode repetir de 20/20 minutos até 3 vezes em 1 hora.",
"Utilizar 3 a 5 mL de NaCl 20% puro ou diluído em SF 0,9%. Nebulização de 8/8 horas. Pode repetir de 20/20 minutos até 3 vezes em 1 hora."))</f>
        <v>Utilizar 3 mL de NaCl 20% puro ou diluído em SF 0,9%. Nebulização de 8/8 horas. Pode repetir de 20/20 minutos até 3 vezes em 1 hora.</v>
      </c>
      <c r="C201" s="27"/>
      <c r="D201" s="25"/>
    </row>
    <row r="202" spans="1:4" x14ac:dyDescent="0.2">
      <c r="A202" s="118" t="s">
        <v>227</v>
      </c>
      <c r="B202" s="60"/>
      <c r="C202" s="65" t="s">
        <v>228</v>
      </c>
      <c r="D202" s="25"/>
    </row>
    <row r="203" spans="1:4" x14ac:dyDescent="0.2">
      <c r="A203" s="57" t="s">
        <v>229</v>
      </c>
      <c r="B203" s="43" t="str">
        <f>"Tomar "&amp;ROUNDUP(MIN(B2*1/5*5,30/5),1)&amp;" mL por via oral de 8/8 horas. Por 5 a 7 dias."</f>
        <v>Tomar 6 mL por via oral de 8/8 horas. Por 5 a 7 dias.</v>
      </c>
      <c r="C203" s="148" t="s">
        <v>230</v>
      </c>
      <c r="D203" s="25"/>
    </row>
    <row r="204" spans="1:4" x14ac:dyDescent="0.2">
      <c r="A204" s="57" t="s">
        <v>231</v>
      </c>
      <c r="B204" s="43" t="str">
        <f>IF(B1&lt;2,"Contraindicado para crianças menores de 2 anos.",
IF(AND(B1&gt;=2,B1&lt;=5),"Tomar 1 mL por via oral de 8/8 horas. Por 7 a 14 dias.",
IF(AND(B1&gt;=6,B1&lt;=12),"Tomar 2 mL por via oral de 8/8 horas. Por 7 a 14 dias.",
"Verificar faixa de idade adequada.")))</f>
        <v>Tomar 2 mL por via oral de 8/8 horas. Por 7 a 14 dias.</v>
      </c>
      <c r="C204" s="148" t="s">
        <v>232</v>
      </c>
      <c r="D204" s="25"/>
    </row>
    <row r="205" spans="1:4" x14ac:dyDescent="0.2">
      <c r="A205" s="124" t="s">
        <v>233</v>
      </c>
      <c r="B205" s="43" t="str">
        <f>"Tomar "&amp;ROUNDUP(MIN(B2*2/30*5,IF(B2&lt;=30,60/30*5,180/30*5)),1)&amp;" mL por via oral de 8/8 horas. Por 5 a 7 dias."</f>
        <v>Tomar 3,4 mL por via oral de 8/8 horas. Por 5 a 7 dias.</v>
      </c>
      <c r="C205" s="148" t="s">
        <v>234</v>
      </c>
      <c r="D205" s="25"/>
    </row>
    <row r="206" spans="1:4" x14ac:dyDescent="0.2">
      <c r="A206" s="87" t="s">
        <v>235</v>
      </c>
      <c r="B206" s="43" t="str">
        <f>"Tomar "&amp;ROUNDUP(MIN(B2*20/20/3,IF(B1&lt;=5,200/20/3,300/20/3)),1)&amp;" mL por via oral de 8/8 horas por 5 a 10 dias."</f>
        <v>Tomar 3,4 mL por via oral de 8/8 horas por 5 a 10 dias.</v>
      </c>
      <c r="C206" s="148" t="s">
        <v>230</v>
      </c>
      <c r="D206" s="25"/>
    </row>
    <row r="207" spans="1:4" x14ac:dyDescent="0.2">
      <c r="A207" s="121" t="s">
        <v>236</v>
      </c>
      <c r="B207" s="99"/>
      <c r="C207" s="151" t="s">
        <v>228</v>
      </c>
      <c r="D207" s="25"/>
    </row>
    <row r="208" spans="1:4" ht="27.75" x14ac:dyDescent="0.2">
      <c r="A208" s="122" t="s">
        <v>237</v>
      </c>
      <c r="B208" s="43" t="str">
        <f>"Pingar 1 gota no(s) olho(s) afetado(s) de 4/4 horas. Ate melhora do quadro."</f>
        <v>Pingar 1 gota no(s) olho(s) afetado(s) de 4/4 horas. Ate melhora do quadro.</v>
      </c>
      <c r="C208" s="103" t="s">
        <v>238</v>
      </c>
      <c r="D208" s="25"/>
    </row>
    <row r="209" spans="1:4" x14ac:dyDescent="0.2">
      <c r="A209" s="122" t="s">
        <v>239</v>
      </c>
      <c r="B209" s="43" t="str">
        <f>"Pingar 1 gota no(s) olho(s) afetado(s) uma vez ao dia. Por 6 semanas."</f>
        <v>Pingar 1 gota no(s) olho(s) afetado(s) uma vez ao dia. Por 6 semanas.</v>
      </c>
      <c r="C209" s="103" t="s">
        <v>240</v>
      </c>
      <c r="D209" s="25"/>
    </row>
    <row r="210" spans="1:4" ht="27.75" x14ac:dyDescent="0.2">
      <c r="A210" s="122" t="s">
        <v>241</v>
      </c>
      <c r="B210" s="43" t="str">
        <f>"Pingar 1 gota no(s) olho(s) afetado(s) de 4/4 horas. Ate melhora do quadro."</f>
        <v>Pingar 1 gota no(s) olho(s) afetado(s) de 4/4 horas. Ate melhora do quadro.</v>
      </c>
      <c r="C210" s="103" t="s">
        <v>242</v>
      </c>
      <c r="D210" s="25"/>
    </row>
    <row r="211" spans="1:4" x14ac:dyDescent="0.2">
      <c r="A211" s="123" t="s">
        <v>243</v>
      </c>
      <c r="B211" s="43" t="str">
        <f>"Pingar 1 gota no(s) olho(s) afetado(s) de 4/4 horas. Por 5 dias."</f>
        <v>Pingar 1 gota no(s) olho(s) afetado(s) de 4/4 horas. Por 5 dias.</v>
      </c>
      <c r="C211" s="103" t="s">
        <v>244</v>
      </c>
      <c r="D211" s="25"/>
    </row>
    <row r="212" spans="1:4" ht="27.75" x14ac:dyDescent="0.2">
      <c r="A212" s="122" t="s">
        <v>245</v>
      </c>
      <c r="B212" s="43" t="str">
        <f>"Aplicar 1 CM da pomada, uma fina camada na região do olho afetada de 8/8 horas. Por 5 dias."</f>
        <v>Aplicar 1 CM da pomada, uma fina camada na região do olho afetada de 8/8 horas. Por 5 dias.</v>
      </c>
      <c r="C212" s="103" t="s">
        <v>244</v>
      </c>
      <c r="D212" s="25"/>
    </row>
    <row r="213" spans="1:4" x14ac:dyDescent="0.2">
      <c r="A213" s="122" t="s">
        <v>246</v>
      </c>
      <c r="B213" s="43" t="str">
        <f>"Pingar 1 gota no(s) olho(s) afetado(s) de 8/8 horas. Por 7 dias."</f>
        <v>Pingar 1 gota no(s) olho(s) afetado(s) de 8/8 horas. Por 7 dias.</v>
      </c>
      <c r="C213" s="103" t="s">
        <v>247</v>
      </c>
      <c r="D213" s="25"/>
    </row>
    <row r="214" spans="1:4" ht="27.75" x14ac:dyDescent="0.2">
      <c r="A214" s="122" t="s">
        <v>248</v>
      </c>
      <c r="B214" s="43" t="str">
        <f>"Pingar 1 gota(s) de 2/2 horas no olho acometido. Durante os primeiros 2 dias de tratamento. Seguido de 1 gota de 4/4 horas. Nos 5 dias seguintes."</f>
        <v>Pingar 1 gota(s) de 2/2 horas no olho acometido. Durante os primeiros 2 dias de tratamento. Seguido de 1 gota de 4/4 horas. Nos 5 dias seguintes.</v>
      </c>
      <c r="C214" s="148" t="s">
        <v>249</v>
      </c>
      <c r="D214" s="25"/>
    </row>
    <row r="215" spans="1:4" x14ac:dyDescent="0.2">
      <c r="A215" s="118" t="s">
        <v>250</v>
      </c>
      <c r="B215" s="99"/>
      <c r="C215" s="27"/>
      <c r="D215" s="25"/>
    </row>
    <row r="216" spans="1:4" ht="27.75" x14ac:dyDescent="0.2">
      <c r="A216" s="104" t="s">
        <v>251</v>
      </c>
      <c r="B216" s="55" t="str">
        <f>"Pingar 3 gotas de 8/8 horas no(s) ouvido(s) comprometido(s). Por 7 a 10 dias"</f>
        <v>Pingar 3 gotas de 8/8 horas no(s) ouvido(s) comprometido(s). Por 7 a 10 dias</v>
      </c>
      <c r="C216" s="27"/>
      <c r="D216" s="25"/>
    </row>
    <row r="217" spans="1:4" ht="27.75" x14ac:dyDescent="0.2">
      <c r="A217" s="104" t="s">
        <v>252</v>
      </c>
      <c r="B217" s="55" t="str">
        <f>"Pingar 3 gotas de 8/8 horas no(s) ouvido(s) comprometido(s). Por 7 a 10 dias"</f>
        <v>Pingar 3 gotas de 8/8 horas no(s) ouvido(s) comprometido(s). Por 7 a 10 dias</v>
      </c>
      <c r="D217" s="25"/>
    </row>
    <row r="218" spans="1:4" ht="27.75" x14ac:dyDescent="0.2">
      <c r="A218" s="104" t="s">
        <v>253</v>
      </c>
      <c r="B218" s="55" t="str">
        <f>"Pingar 3 gotas de 8/8 horas no(s) ouvido(s) comprometido(s). Por 7 a 10 dias"</f>
        <v>Pingar 3 gotas de 8/8 horas no(s) ouvido(s) comprometido(s). Por 7 a 10 dias</v>
      </c>
      <c r="C218" s="27"/>
      <c r="D218" s="25"/>
    </row>
    <row r="219" spans="1:4" ht="27.75" x14ac:dyDescent="0.2">
      <c r="A219" s="104" t="s">
        <v>254</v>
      </c>
      <c r="B219" s="55" t="str">
        <f>"Pingar 2 gotas de 8/8 horas no(s) ouvido(s) comprometido(s). Por 7 a 10 dias"</f>
        <v>Pingar 2 gotas de 8/8 horas no(s) ouvido(s) comprometido(s). Por 7 a 10 dias</v>
      </c>
      <c r="C219" s="27"/>
      <c r="D219" s="25"/>
    </row>
    <row r="220" spans="1:4" ht="27.75" x14ac:dyDescent="0.2">
      <c r="A220" s="104" t="s">
        <v>255</v>
      </c>
      <c r="B220" s="55" t="str">
        <f>"Pingar 4 gotas de 8/8 horas no(s) ouvido(s) comprometido(s). Até o desaparecimento da dor e da infecção."</f>
        <v>Pingar 4 gotas de 8/8 horas no(s) ouvido(s) comprometido(s). Até o desaparecimento da dor e da infecção.</v>
      </c>
      <c r="C220" s="132"/>
      <c r="D220" s="25"/>
    </row>
    <row r="221" spans="1:4" ht="27.75" x14ac:dyDescent="0.2">
      <c r="A221" s="124" t="s">
        <v>256</v>
      </c>
      <c r="B221" s="55" t="str">
        <f>"Pingar 2 gotas de 8/8 horas no(s) ouvido(s) comprometido(s). Por 7 a 10 dias"</f>
        <v>Pingar 2 gotas de 8/8 horas no(s) ouvido(s) comprometido(s). Por 7 a 10 dias</v>
      </c>
      <c r="C221" s="27"/>
      <c r="D221" s="25"/>
    </row>
    <row r="222" spans="1:4" x14ac:dyDescent="0.2">
      <c r="A222" s="104" t="s">
        <v>257</v>
      </c>
      <c r="B222" s="55" t="str">
        <f>"Pingar 3 gotas de 8/8 horas no(s) ouvido(s) comprometido(s). Por 21 dias"</f>
        <v>Pingar 3 gotas de 8/8 horas no(s) ouvido(s) comprometido(s). Por 21 dias</v>
      </c>
      <c r="C222" s="152"/>
      <c r="D222" s="25"/>
    </row>
    <row r="223" spans="1:4" x14ac:dyDescent="0.2">
      <c r="A223" s="118" t="s">
        <v>258</v>
      </c>
      <c r="B223" s="99"/>
      <c r="C223" s="27"/>
      <c r="D223" s="25"/>
    </row>
    <row r="224" spans="1:4" x14ac:dyDescent="0.2">
      <c r="A224" s="104" t="s">
        <v>259</v>
      </c>
      <c r="B224" s="55" t="str">
        <f>"Administrar 2 jatos em região nasal de 12/12 horas."</f>
        <v>Administrar 2 jatos em região nasal de 12/12 horas.</v>
      </c>
      <c r="C224" s="27"/>
      <c r="D224" s="25"/>
    </row>
    <row r="225" spans="1:4" x14ac:dyDescent="0.2">
      <c r="A225" s="104" t="s">
        <v>260</v>
      </c>
      <c r="B225" s="55" t="str">
        <f>"Administrar 2 jatos em região nasal de 12/12 horas."</f>
        <v>Administrar 2 jatos em região nasal de 12/12 horas.</v>
      </c>
      <c r="C225" s="27"/>
      <c r="D225" s="25"/>
    </row>
    <row r="226" spans="1:4" x14ac:dyDescent="0.2">
      <c r="A226" s="104" t="s">
        <v>261</v>
      </c>
      <c r="B226" s="55" t="str">
        <f>"Administrar 2 jatos em região nasal de 12/12 horas."</f>
        <v>Administrar 2 jatos em região nasal de 12/12 horas.</v>
      </c>
      <c r="C226" s="27"/>
      <c r="D226" s="25"/>
    </row>
    <row r="227" spans="1:4" x14ac:dyDescent="0.2">
      <c r="A227" s="104" t="s">
        <v>262</v>
      </c>
      <c r="B227" s="55" t="str">
        <f>"Administrar 4 jatos em região nasal de 6/6 horas. Por 5 dias."</f>
        <v>Administrar 4 jatos em região nasal de 6/6 horas. Por 5 dias.</v>
      </c>
      <c r="C227" s="27"/>
      <c r="D227" s="25"/>
    </row>
    <row r="228" spans="1:4" x14ac:dyDescent="0.2">
      <c r="A228" s="119" t="s">
        <v>263</v>
      </c>
      <c r="B228" s="55" t="str">
        <f>"Administrar 2 jatos em região nasal de 12/12 horas."</f>
        <v>Administrar 2 jatos em região nasal de 12/12 horas.</v>
      </c>
      <c r="C228" s="27"/>
      <c r="D228" s="25"/>
    </row>
    <row r="229" spans="1:4" x14ac:dyDescent="0.2">
      <c r="A229" s="170" t="s">
        <v>264</v>
      </c>
      <c r="B229" s="99"/>
      <c r="C229" s="65" t="s">
        <v>228</v>
      </c>
      <c r="D229" s="25"/>
    </row>
    <row r="230" spans="1:4" ht="41.25" x14ac:dyDescent="0.2">
      <c r="A230" s="57" t="s">
        <v>265</v>
      </c>
      <c r="B230" s="28" t="str">
        <f>"Aplicar nas lesões e dentro das narinas de 6/6 horas por 10 dias. Manter as unhas curtas e limpas. Realizar a limpeza das lesões com água e sabão antes da aplicação da pomada."</f>
        <v>Aplicar nas lesões e dentro das narinas de 6/6 horas por 10 dias. Manter as unhas curtas e limpas. Realizar a limpeza das lesões com água e sabão antes da aplicação da pomada.</v>
      </c>
      <c r="C230" s="133" t="s">
        <v>266</v>
      </c>
      <c r="D230" s="25"/>
    </row>
    <row r="231" spans="1:4" ht="27.75" x14ac:dyDescent="0.2">
      <c r="A231" s="57" t="s">
        <v>267</v>
      </c>
      <c r="B231" s="28" t="s">
        <v>268</v>
      </c>
      <c r="C231" s="133" t="s">
        <v>269</v>
      </c>
      <c r="D231" s="25"/>
    </row>
    <row r="232" spans="1:4" ht="41.25" x14ac:dyDescent="0.2">
      <c r="A232" s="57" t="s">
        <v>270</v>
      </c>
      <c r="B232" s="28" t="str">
        <f>"Aplicar uma fina camada no local afetado de 12/12 horas por 10 dias. Indicado para dermatites: de contato, atópica, seborreica, intertrigo, desidrose e neurodermatite."</f>
        <v>Aplicar uma fina camada no local afetado de 12/12 horas por 10 dias. Indicado para dermatites: de contato, atópica, seborreica, intertrigo, desidrose e neurodermatite.</v>
      </c>
      <c r="C232" s="148" t="s">
        <v>271</v>
      </c>
      <c r="D232" s="25"/>
    </row>
    <row r="233" spans="1:4" x14ac:dyDescent="0.2">
      <c r="A233" s="57" t="s">
        <v>272</v>
      </c>
      <c r="B233" s="28" t="str">
        <f>"Aplicar uma fina camada no local afetado de 12/12 horas por 10 dias."</f>
        <v>Aplicar uma fina camada no local afetado de 12/12 horas por 10 dias.</v>
      </c>
      <c r="C233" s="148" t="s">
        <v>273</v>
      </c>
      <c r="D233" s="25"/>
    </row>
    <row r="234" spans="1:4" ht="27.75" x14ac:dyDescent="0.2">
      <c r="A234" s="57" t="s">
        <v>274</v>
      </c>
      <c r="B234" s="28" t="str">
        <f>"Aplicar uma camada no local afetado de 12/12 horas por 10 dias como tratamento."</f>
        <v>Aplicar uma camada no local afetado de 12/12 horas por 10 dias como tratamento.</v>
      </c>
      <c r="C234" s="148" t="s">
        <v>275</v>
      </c>
      <c r="D234" s="25"/>
    </row>
    <row r="235" spans="1:4" x14ac:dyDescent="0.2">
      <c r="A235" s="57" t="s">
        <v>276</v>
      </c>
      <c r="B235" s="28" t="str">
        <f>"Aplicar na região do prepúcio de 12/12 horas por 3 semanas."</f>
        <v>Aplicar na região do prepúcio de 12/12 horas por 3 semanas.</v>
      </c>
      <c r="C235" s="148" t="s">
        <v>277</v>
      </c>
      <c r="D235" s="25"/>
    </row>
    <row r="236" spans="1:4" ht="27.75" x14ac:dyDescent="0.2">
      <c r="A236" s="57" t="s">
        <v>278</v>
      </c>
      <c r="B236" s="28" t="str">
        <f>"Aplicar uma fina camada no local afetado de 12/12 horas por 10 dias."</f>
        <v>Aplicar uma fina camada no local afetado de 12/12 horas por 10 dias.</v>
      </c>
      <c r="C236" s="148" t="s">
        <v>279</v>
      </c>
      <c r="D236" s="25"/>
    </row>
    <row r="237" spans="1:4" ht="27.75" x14ac:dyDescent="0.2">
      <c r="A237" s="57" t="s">
        <v>280</v>
      </c>
      <c r="B237" s="28" t="str">
        <f>"Aplicar nas lesões, 2 vezes ao dia, até melhorar. (Não passar no rosto). Manter as unhas curtas e limpas."</f>
        <v>Aplicar nas lesões, 2 vezes ao dia, até melhorar. (Não passar no rosto). Manter as unhas curtas e limpas.</v>
      </c>
      <c r="C237" s="148" t="s">
        <v>281</v>
      </c>
      <c r="D237" s="25"/>
    </row>
    <row r="238" spans="1:4" x14ac:dyDescent="0.2">
      <c r="A238" s="57" t="s">
        <v>282</v>
      </c>
      <c r="B238" s="28" t="str">
        <f>"Passar na(s) assadura(s) de 8/8 horas por 5 dias."</f>
        <v>Passar na(s) assadura(s) de 8/8 horas por 5 dias.</v>
      </c>
      <c r="C238" s="148" t="s">
        <v>283</v>
      </c>
      <c r="D238" s="25"/>
    </row>
    <row r="239" spans="1:4" ht="27.75" x14ac:dyDescent="0.2">
      <c r="A239" s="57" t="s">
        <v>284</v>
      </c>
      <c r="B239" s="28" t="str">
        <f>"Passar na(s) assadura(s) a cada troca de fraldas ou de 6/6 horas por 14 dias."</f>
        <v>Passar na(s) assadura(s) a cada troca de fraldas ou de 6/6 horas por 14 dias.</v>
      </c>
      <c r="C239" s="148" t="s">
        <v>285</v>
      </c>
      <c r="D239" s="25"/>
    </row>
    <row r="240" spans="1:4" ht="41.25" x14ac:dyDescent="0.2">
      <c r="A240" s="57" t="s">
        <v>286</v>
      </c>
      <c r="B240" s="28" t="str">
        <f>"Aplicar e friccionar levemente. Manter a espuma sem enxaguar por 10 minutos. Depois enxaguar bem. Repetir por 4 dias consecutivos. Fazer intervalo de 7 dias e repetir por mais 4 dias."</f>
        <v>Aplicar e friccionar levemente. Manter a espuma sem enxaguar por 10 minutos. Depois enxaguar bem. Repetir por 4 dias consecutivos. Fazer intervalo de 7 dias e repetir por mais 4 dias.</v>
      </c>
      <c r="C240" s="148" t="s">
        <v>287</v>
      </c>
      <c r="D240" s="25"/>
    </row>
    <row r="241" spans="1:4" ht="27.75" x14ac:dyDescent="0.2">
      <c r="A241" s="57" t="s">
        <v>265</v>
      </c>
      <c r="B241" s="28" t="str">
        <f>"Aplicar dentro das narinas com um cotonete de 6/6 horas por 5 dias. Retorno com otorrino em 1 semana para reavaliação."</f>
        <v>Aplicar dentro das narinas com um cotonete de 6/6 horas por 5 dias. Retorno com otorrino em 1 semana para reavaliação.</v>
      </c>
      <c r="C241" s="148" t="s">
        <v>288</v>
      </c>
      <c r="D241" s="25"/>
    </row>
    <row r="242" spans="1:4" ht="41.25" x14ac:dyDescent="0.2">
      <c r="A242" s="57" t="s">
        <v>289</v>
      </c>
      <c r="B242" s="28" t="str">
        <f>"Aplicar e friccionar nas áreas afetadas após o banho e deixar até o próximo banho. Repetir por 4 dias consecutivos. Fazer intervalo de 7 dias e repetir por mais 4 dias."</f>
        <v>Aplicar e friccionar nas áreas afetadas após o banho e deixar até o próximo banho. Repetir por 4 dias consecutivos. Fazer intervalo de 7 dias e repetir por mais 4 dias.</v>
      </c>
      <c r="C242" s="148" t="s">
        <v>290</v>
      </c>
      <c r="D242" s="25"/>
    </row>
    <row r="243" spans="1:4" ht="41.25" x14ac:dyDescent="0.2">
      <c r="A243" s="57" t="s">
        <v>291</v>
      </c>
      <c r="B243" s="28" t="str">
        <f>"Aplicar e friccionar levemente abaixo do pescoço. Retirar no próximo dia. Para menores de 1 mês, retirar em menos de 6 horas. Repetir o tratamento entre 5 a 7 dias."</f>
        <v>Aplicar e friccionar levemente abaixo do pescoço. Retirar no próximo dia. Para menores de 1 mês, retirar em menos de 6 horas. Repetir o tratamento entre 5 a 7 dias.</v>
      </c>
      <c r="C243" s="133" t="s">
        <v>292</v>
      </c>
      <c r="D243" s="25"/>
    </row>
    <row r="244" spans="1:4" x14ac:dyDescent="0.2">
      <c r="A244" s="57" t="s">
        <v>293</v>
      </c>
      <c r="B244" s="28" t="str">
        <f>"Aplicar creme tópico na região acometida de 4/4 horas por 4 dias."</f>
        <v>Aplicar creme tópico na região acometida de 4/4 horas por 4 dias.</v>
      </c>
      <c r="C244" s="133" t="s">
        <v>294</v>
      </c>
      <c r="D244" s="25"/>
    </row>
    <row r="245" spans="1:4" x14ac:dyDescent="0.2">
      <c r="A245" s="57" t="s">
        <v>295</v>
      </c>
      <c r="B245" s="28" t="str">
        <f>"Aplicar uma camada fina sobre a pele lesionada de 8/8 horas por 7 dias."</f>
        <v>Aplicar uma camada fina sobre a pele lesionada de 8/8 horas por 7 dias.</v>
      </c>
      <c r="C245" s="133" t="s">
        <v>296</v>
      </c>
      <c r="D245" s="25"/>
    </row>
    <row r="246" spans="1:4" x14ac:dyDescent="0.2">
      <c r="A246" s="111" t="s">
        <v>297</v>
      </c>
      <c r="B246" s="28" t="str">
        <f>"Aplicar na área afetada até de 8/8 horas por no máximo 10 dias."</f>
        <v>Aplicar na área afetada até de 8/8 horas por no máximo 10 dias.</v>
      </c>
      <c r="C246" s="133" t="s">
        <v>296</v>
      </c>
      <c r="D246" s="25"/>
    </row>
    <row r="247" spans="1:4" x14ac:dyDescent="0.2">
      <c r="A247" s="57" t="s">
        <v>298</v>
      </c>
      <c r="B247" s="28" t="str">
        <f>"Aplicar uma pequena quantidade do creme no local afetado, de 8/8 horas."</f>
        <v>Aplicar uma pequena quantidade do creme no local afetado, de 8/8 horas.</v>
      </c>
      <c r="C247" s="133" t="s">
        <v>299</v>
      </c>
      <c r="D247" s="25"/>
    </row>
    <row r="248" spans="1:4" ht="27.75" x14ac:dyDescent="0.2">
      <c r="A248" s="57" t="s">
        <v>300</v>
      </c>
      <c r="B248" s="28" t="str">
        <f>"Aplicar uma fina camada de modo a cobrir toda a área afetada uma vez ao dia."</f>
        <v>Aplicar uma fina camada de modo a cobrir toda a área afetada uma vez ao dia.</v>
      </c>
      <c r="C248" s="133" t="s">
        <v>299</v>
      </c>
      <c r="D248" s="25"/>
    </row>
    <row r="249" spans="1:4" ht="41.25" x14ac:dyDescent="0.2">
      <c r="A249" s="57" t="s">
        <v>301</v>
      </c>
      <c r="B249" s="43" t="str">
        <f>"Dissolver o conteúdo de 1 a 2 envelope(s) do pó para preparação extemporânea ou 10 a 20 mL da solução ginecológica em 1 L de água e usar em lavagens vaginais de 12/12 horas."</f>
        <v>Dissolver o conteúdo de 1 a 2 envelope(s) do pó para preparação extemporânea ou 10 a 20 mL da solução ginecológica em 1 L de água e usar em lavagens vaginais de 12/12 horas.</v>
      </c>
      <c r="C249" s="133" t="s">
        <v>302</v>
      </c>
      <c r="D249" s="25"/>
    </row>
    <row r="250" spans="1:4" ht="41.25" x14ac:dyDescent="0.2">
      <c r="A250" s="57" t="s">
        <v>303</v>
      </c>
      <c r="B250" s="28" t="str">
        <f>"Aplicar 1 ou 2 nebulizações 15 minutos antes das principais refeições. As nebulizações devem ser aplicadas na cavidade bucal, direcionando o aplicador para a orofaringe (fundo da garganta)."</f>
        <v>Aplicar 1 ou 2 nebulizações 15 minutos antes das principais refeições. As nebulizações devem ser aplicadas na cavidade bucal, direcionando o aplicador para a orofaringe (fundo da garganta).</v>
      </c>
      <c r="C250" s="133" t="s">
        <v>304</v>
      </c>
      <c r="D250" s="25"/>
    </row>
    <row r="251" spans="1:4" x14ac:dyDescent="0.2">
      <c r="A251" s="54" t="s">
        <v>305</v>
      </c>
      <c r="B251" s="28" t="str">
        <f>"Aplicar 1 jato na garganta 20 minutos antes das principais refeições."</f>
        <v>Aplicar 1 jato na garganta 20 minutos antes das principais refeições.</v>
      </c>
      <c r="C251" s="133"/>
      <c r="D251" s="25"/>
    </row>
    <row r="252" spans="1:4" ht="27.75" x14ac:dyDescent="0.2">
      <c r="A252" s="57" t="s">
        <v>306</v>
      </c>
      <c r="B252" s="153" t="str">
        <f>"Diluir o comprimido no momento do uso, em 1 a 4 litros de água, e usar na forma de compressas ou no banho."</f>
        <v>Diluir o comprimido no momento do uso, em 1 a 4 litros de água, e usar na forma de compressas ou no banho.</v>
      </c>
      <c r="C252" s="133" t="s">
        <v>307</v>
      </c>
      <c r="D252" s="25"/>
    </row>
    <row r="253" spans="1:4" ht="41.25" x14ac:dyDescent="0.2">
      <c r="A253" s="57" t="s">
        <v>308</v>
      </c>
      <c r="B253" s="28" t="str">
        <f>"Aplicar uma camada sobre a lesão de 12/12 horas utilizando técnica asséptica. Ocluir o local com gaze estéril. Continuar até a cicatrização completa da ferida."</f>
        <v>Aplicar uma camada sobre a lesão de 12/12 horas utilizando técnica asséptica. Ocluir o local com gaze estéril. Continuar até a cicatrização completa da ferida.</v>
      </c>
      <c r="C253" s="133" t="s">
        <v>309</v>
      </c>
      <c r="D253" s="25"/>
    </row>
    <row r="254" spans="1:4" x14ac:dyDescent="0.2">
      <c r="A254" s="61"/>
      <c r="B254" s="50"/>
      <c r="C254" s="59"/>
    </row>
    <row r="255" spans="1:4" x14ac:dyDescent="0.2">
      <c r="B255" s="135"/>
    </row>
    <row r="256" spans="1:4" x14ac:dyDescent="0.2">
      <c r="B256" s="135"/>
    </row>
    <row r="257" spans="2:3" x14ac:dyDescent="0.2">
      <c r="B257" s="135"/>
    </row>
    <row r="258" spans="2:3" x14ac:dyDescent="0.2">
      <c r="B258" s="135"/>
    </row>
    <row r="259" spans="2:3" x14ac:dyDescent="0.2">
      <c r="B259" s="135"/>
    </row>
    <row r="260" spans="2:3" x14ac:dyDescent="0.2">
      <c r="B260" s="135"/>
    </row>
    <row r="261" spans="2:3" x14ac:dyDescent="0.2">
      <c r="B261" s="135"/>
    </row>
    <row r="262" spans="2:3" x14ac:dyDescent="0.2">
      <c r="B262" s="135"/>
    </row>
    <row r="263" spans="2:3" x14ac:dyDescent="0.2">
      <c r="B263" s="135"/>
    </row>
    <row r="264" spans="2:3" x14ac:dyDescent="0.2">
      <c r="B264" s="135"/>
    </row>
    <row r="265" spans="2:3" x14ac:dyDescent="0.2">
      <c r="B265" s="135"/>
    </row>
    <row r="266" spans="2:3" x14ac:dyDescent="0.2">
      <c r="B266" s="135"/>
    </row>
    <row r="267" spans="2:3" x14ac:dyDescent="0.2">
      <c r="B267" s="135"/>
      <c r="C267" s="25" t="s">
        <v>310</v>
      </c>
    </row>
    <row r="268" spans="2:3" x14ac:dyDescent="0.2">
      <c r="B268" s="135"/>
    </row>
    <row r="269" spans="2:3" x14ac:dyDescent="0.2">
      <c r="B269" s="135"/>
    </row>
    <row r="270" spans="2:3" x14ac:dyDescent="0.2">
      <c r="B270" s="135"/>
    </row>
    <row r="271" spans="2:3" x14ac:dyDescent="0.2">
      <c r="B271" s="135"/>
    </row>
    <row r="272" spans="2:3" x14ac:dyDescent="0.2">
      <c r="B272" s="135"/>
    </row>
    <row r="273" spans="2:2" x14ac:dyDescent="0.2">
      <c r="B273" s="135"/>
    </row>
    <row r="274" spans="2:2" x14ac:dyDescent="0.2">
      <c r="B274" s="135"/>
    </row>
    <row r="275" spans="2:2" x14ac:dyDescent="0.2">
      <c r="B275" s="135"/>
    </row>
    <row r="276" spans="2:2" x14ac:dyDescent="0.2">
      <c r="B276" s="136"/>
    </row>
    <row r="277" spans="2:2" x14ac:dyDescent="0.2">
      <c r="B277" s="136"/>
    </row>
    <row r="278" spans="2:2" x14ac:dyDescent="0.2">
      <c r="B278" s="136"/>
    </row>
    <row r="279" spans="2:2" x14ac:dyDescent="0.2">
      <c r="B279" s="136"/>
    </row>
    <row r="280" spans="2:2" x14ac:dyDescent="0.2">
      <c r="B280" s="136"/>
    </row>
    <row r="281" spans="2:2" x14ac:dyDescent="0.2">
      <c r="B281" s="136"/>
    </row>
    <row r="282" spans="2:2" x14ac:dyDescent="0.2">
      <c r="B282" s="136"/>
    </row>
    <row r="283" spans="2:2" x14ac:dyDescent="0.2">
      <c r="B283" s="136"/>
    </row>
    <row r="284" spans="2:2" x14ac:dyDescent="0.2">
      <c r="B284" s="136"/>
    </row>
    <row r="285" spans="2:2" x14ac:dyDescent="0.2">
      <c r="B285" s="136"/>
    </row>
    <row r="286" spans="2:2" x14ac:dyDescent="0.2">
      <c r="B286" s="136"/>
    </row>
    <row r="287" spans="2:2" x14ac:dyDescent="0.2">
      <c r="B287" s="136"/>
    </row>
    <row r="288" spans="2:2" x14ac:dyDescent="0.2">
      <c r="B288" s="136"/>
    </row>
    <row r="289" spans="2:2" x14ac:dyDescent="0.2">
      <c r="B289" s="136"/>
    </row>
    <row r="290" spans="2:2" x14ac:dyDescent="0.2">
      <c r="B290" s="136"/>
    </row>
    <row r="291" spans="2:2" x14ac:dyDescent="0.2">
      <c r="B291" s="136"/>
    </row>
    <row r="292" spans="2:2" x14ac:dyDescent="0.2">
      <c r="B292" s="136"/>
    </row>
    <row r="293" spans="2:2" x14ac:dyDescent="0.2">
      <c r="B293" s="136"/>
    </row>
    <row r="294" spans="2:2" x14ac:dyDescent="0.2">
      <c r="B294" s="136"/>
    </row>
    <row r="295" spans="2:2" x14ac:dyDescent="0.2">
      <c r="B295" s="136"/>
    </row>
    <row r="296" spans="2:2" x14ac:dyDescent="0.2">
      <c r="B296" s="136"/>
    </row>
    <row r="297" spans="2:2" x14ac:dyDescent="0.2">
      <c r="B297" s="136"/>
    </row>
    <row r="298" spans="2:2" x14ac:dyDescent="0.2">
      <c r="B298" s="136"/>
    </row>
    <row r="299" spans="2:2" x14ac:dyDescent="0.2">
      <c r="B299" s="136"/>
    </row>
    <row r="300" spans="2:2" x14ac:dyDescent="0.2">
      <c r="B300" s="136"/>
    </row>
    <row r="301" spans="2:2" x14ac:dyDescent="0.2">
      <c r="B301" s="136"/>
    </row>
    <row r="302" spans="2:2" x14ac:dyDescent="0.2">
      <c r="B302" s="136"/>
    </row>
    <row r="303" spans="2:2" x14ac:dyDescent="0.2">
      <c r="B303" s="136"/>
    </row>
    <row r="304" spans="2:2" x14ac:dyDescent="0.2">
      <c r="B304" s="136"/>
    </row>
    <row r="305" spans="2:2" x14ac:dyDescent="0.2">
      <c r="B305" s="136"/>
    </row>
    <row r="306" spans="2:2" x14ac:dyDescent="0.2">
      <c r="B306" s="136"/>
    </row>
    <row r="307" spans="2:2" x14ac:dyDescent="0.2">
      <c r="B307" s="136"/>
    </row>
    <row r="308" spans="2:2" x14ac:dyDescent="0.2">
      <c r="B308" s="136"/>
    </row>
    <row r="309" spans="2:2" x14ac:dyDescent="0.2">
      <c r="B309" s="136"/>
    </row>
    <row r="310" spans="2:2" x14ac:dyDescent="0.2">
      <c r="B310" s="136"/>
    </row>
    <row r="311" spans="2:2" x14ac:dyDescent="0.2">
      <c r="B311" s="136"/>
    </row>
    <row r="312" spans="2:2" x14ac:dyDescent="0.2">
      <c r="B312" s="136"/>
    </row>
    <row r="313" spans="2:2" x14ac:dyDescent="0.2">
      <c r="B313" s="136"/>
    </row>
    <row r="314" spans="2:2" x14ac:dyDescent="0.2">
      <c r="B314" s="136"/>
    </row>
    <row r="315" spans="2:2" x14ac:dyDescent="0.2">
      <c r="B315" s="136"/>
    </row>
    <row r="316" spans="2:2" x14ac:dyDescent="0.2">
      <c r="B316" s="136"/>
    </row>
    <row r="317" spans="2:2" x14ac:dyDescent="0.2">
      <c r="B317" s="136"/>
    </row>
    <row r="318" spans="2:2" x14ac:dyDescent="0.2">
      <c r="B318" s="136"/>
    </row>
    <row r="319" spans="2:2" x14ac:dyDescent="0.2">
      <c r="B319" s="136"/>
    </row>
    <row r="320" spans="2:2" x14ac:dyDescent="0.2">
      <c r="B320" s="136"/>
    </row>
    <row r="321" spans="2:2" x14ac:dyDescent="0.2">
      <c r="B321" s="136"/>
    </row>
    <row r="322" spans="2:2" x14ac:dyDescent="0.2">
      <c r="B322" s="136"/>
    </row>
    <row r="323" spans="2:2" x14ac:dyDescent="0.2">
      <c r="B323" s="136"/>
    </row>
    <row r="324" spans="2:2" x14ac:dyDescent="0.2">
      <c r="B324" s="136"/>
    </row>
    <row r="325" spans="2:2" x14ac:dyDescent="0.2">
      <c r="B325" s="136"/>
    </row>
    <row r="326" spans="2:2" x14ac:dyDescent="0.2">
      <c r="B326" s="136"/>
    </row>
    <row r="327" spans="2:2" x14ac:dyDescent="0.2">
      <c r="B327" s="136"/>
    </row>
    <row r="328" spans="2:2" x14ac:dyDescent="0.2">
      <c r="B328" s="136"/>
    </row>
    <row r="329" spans="2:2" x14ac:dyDescent="0.2">
      <c r="B329" s="136"/>
    </row>
    <row r="330" spans="2:2" x14ac:dyDescent="0.2">
      <c r="B330" s="136"/>
    </row>
    <row r="331" spans="2:2" x14ac:dyDescent="0.2">
      <c r="B331" s="136"/>
    </row>
    <row r="332" spans="2:2" x14ac:dyDescent="0.2">
      <c r="B332" s="136"/>
    </row>
    <row r="333" spans="2:2" x14ac:dyDescent="0.2">
      <c r="B333" s="136"/>
    </row>
    <row r="334" spans="2:2" x14ac:dyDescent="0.2">
      <c r="B334" s="136"/>
    </row>
    <row r="335" spans="2:2" x14ac:dyDescent="0.2">
      <c r="B335" s="136"/>
    </row>
    <row r="336" spans="2:2" x14ac:dyDescent="0.2">
      <c r="B336" s="136"/>
    </row>
    <row r="337" spans="2:2" x14ac:dyDescent="0.2">
      <c r="B337" s="136"/>
    </row>
    <row r="338" spans="2:2" x14ac:dyDescent="0.2">
      <c r="B338" s="136"/>
    </row>
    <row r="339" spans="2:2" x14ac:dyDescent="0.2">
      <c r="B339" s="136"/>
    </row>
    <row r="340" spans="2:2" x14ac:dyDescent="0.2">
      <c r="B340" s="136"/>
    </row>
    <row r="341" spans="2:2" x14ac:dyDescent="0.2">
      <c r="B341" s="136"/>
    </row>
    <row r="342" spans="2:2" x14ac:dyDescent="0.2">
      <c r="B342" s="136"/>
    </row>
    <row r="343" spans="2:2" x14ac:dyDescent="0.2">
      <c r="B343" s="136"/>
    </row>
    <row r="344" spans="2:2" x14ac:dyDescent="0.2">
      <c r="B344" s="136"/>
    </row>
    <row r="345" spans="2:2" x14ac:dyDescent="0.2">
      <c r="B345" s="136"/>
    </row>
    <row r="346" spans="2:2" x14ac:dyDescent="0.2">
      <c r="B346" s="136"/>
    </row>
    <row r="347" spans="2:2" x14ac:dyDescent="0.2">
      <c r="B347" s="136"/>
    </row>
    <row r="348" spans="2:2" x14ac:dyDescent="0.2">
      <c r="B348" s="136"/>
    </row>
    <row r="349" spans="2:2" x14ac:dyDescent="0.2">
      <c r="B349" s="136"/>
    </row>
    <row r="350" spans="2:2" x14ac:dyDescent="0.2">
      <c r="B350" s="136"/>
    </row>
    <row r="351" spans="2:2" x14ac:dyDescent="0.2">
      <c r="B351" s="136"/>
    </row>
    <row r="352" spans="2:2" x14ac:dyDescent="0.2">
      <c r="B352" s="136"/>
    </row>
    <row r="353" spans="2:2" x14ac:dyDescent="0.2">
      <c r="B353" s="136"/>
    </row>
    <row r="354" spans="2:2" x14ac:dyDescent="0.2">
      <c r="B354" s="136"/>
    </row>
    <row r="355" spans="2:2" x14ac:dyDescent="0.2">
      <c r="B355" s="136"/>
    </row>
    <row r="356" spans="2:2" x14ac:dyDescent="0.2">
      <c r="B356" s="136"/>
    </row>
    <row r="357" spans="2:2" x14ac:dyDescent="0.2">
      <c r="B357" s="136"/>
    </row>
    <row r="358" spans="2:2" x14ac:dyDescent="0.2">
      <c r="B358" s="136"/>
    </row>
    <row r="359" spans="2:2" x14ac:dyDescent="0.2">
      <c r="B359" s="136"/>
    </row>
    <row r="360" spans="2:2" x14ac:dyDescent="0.2">
      <c r="B360" s="136"/>
    </row>
    <row r="361" spans="2:2" x14ac:dyDescent="0.2">
      <c r="B361" s="136"/>
    </row>
    <row r="362" spans="2:2" x14ac:dyDescent="0.2">
      <c r="B362" s="136"/>
    </row>
    <row r="363" spans="2:2" x14ac:dyDescent="0.2">
      <c r="B363" s="136"/>
    </row>
    <row r="364" spans="2:2" x14ac:dyDescent="0.2">
      <c r="B364" s="136"/>
    </row>
    <row r="365" spans="2:2" x14ac:dyDescent="0.2">
      <c r="B365" s="136"/>
    </row>
    <row r="366" spans="2:2" x14ac:dyDescent="0.2">
      <c r="B366" s="136"/>
    </row>
    <row r="367" spans="2:2" x14ac:dyDescent="0.2">
      <c r="B367" s="136"/>
    </row>
    <row r="368" spans="2:2" x14ac:dyDescent="0.2">
      <c r="B368" s="136"/>
    </row>
    <row r="369" spans="2:2" x14ac:dyDescent="0.2">
      <c r="B369" s="136"/>
    </row>
    <row r="370" spans="2:2" x14ac:dyDescent="0.2">
      <c r="B370" s="136"/>
    </row>
    <row r="371" spans="2:2" x14ac:dyDescent="0.2">
      <c r="B371" s="136"/>
    </row>
    <row r="372" spans="2:2" x14ac:dyDescent="0.2">
      <c r="B372" s="136"/>
    </row>
    <row r="373" spans="2:2" x14ac:dyDescent="0.2">
      <c r="B373" s="136"/>
    </row>
    <row r="374" spans="2:2" x14ac:dyDescent="0.2">
      <c r="B374" s="136"/>
    </row>
    <row r="375" spans="2:2" x14ac:dyDescent="0.2">
      <c r="B375" s="136"/>
    </row>
    <row r="376" spans="2:2" x14ac:dyDescent="0.2">
      <c r="B376" s="136"/>
    </row>
    <row r="377" spans="2:2" x14ac:dyDescent="0.2">
      <c r="B377" s="136"/>
    </row>
    <row r="378" spans="2:2" x14ac:dyDescent="0.2">
      <c r="B378" s="136"/>
    </row>
    <row r="379" spans="2:2" x14ac:dyDescent="0.2">
      <c r="B379" s="136"/>
    </row>
    <row r="380" spans="2:2" x14ac:dyDescent="0.2">
      <c r="B380" s="136"/>
    </row>
    <row r="381" spans="2:2" x14ac:dyDescent="0.2">
      <c r="B381" s="136"/>
    </row>
    <row r="382" spans="2:2" x14ac:dyDescent="0.2">
      <c r="B382" s="136"/>
    </row>
    <row r="383" spans="2:2" x14ac:dyDescent="0.2">
      <c r="B383" s="136"/>
    </row>
    <row r="384" spans="2:2" x14ac:dyDescent="0.2">
      <c r="B384" s="136"/>
    </row>
    <row r="385" spans="2:2" x14ac:dyDescent="0.2">
      <c r="B385" s="136"/>
    </row>
    <row r="386" spans="2:2" x14ac:dyDescent="0.2">
      <c r="B386" s="136"/>
    </row>
    <row r="387" spans="2:2" x14ac:dyDescent="0.2">
      <c r="B387" s="136"/>
    </row>
    <row r="388" spans="2:2" x14ac:dyDescent="0.2">
      <c r="B388" s="136"/>
    </row>
    <row r="389" spans="2:2" x14ac:dyDescent="0.2">
      <c r="B389" s="136"/>
    </row>
    <row r="390" spans="2:2" x14ac:dyDescent="0.2">
      <c r="B390" s="136"/>
    </row>
    <row r="391" spans="2:2" x14ac:dyDescent="0.2">
      <c r="B391" s="136"/>
    </row>
    <row r="392" spans="2:2" x14ac:dyDescent="0.2">
      <c r="B392" s="136"/>
    </row>
    <row r="393" spans="2:2" x14ac:dyDescent="0.2">
      <c r="B393" s="136"/>
    </row>
    <row r="394" spans="2:2" x14ac:dyDescent="0.2">
      <c r="B394" s="136"/>
    </row>
    <row r="395" spans="2:2" x14ac:dyDescent="0.2">
      <c r="B395" s="136"/>
    </row>
    <row r="396" spans="2:2" x14ac:dyDescent="0.2">
      <c r="B396" s="136"/>
    </row>
    <row r="397" spans="2:2" x14ac:dyDescent="0.2">
      <c r="B397" s="136"/>
    </row>
    <row r="398" spans="2:2" x14ac:dyDescent="0.2">
      <c r="B398" s="136"/>
    </row>
    <row r="399" spans="2:2" x14ac:dyDescent="0.2">
      <c r="B399" s="136"/>
    </row>
    <row r="400" spans="2:2" x14ac:dyDescent="0.2">
      <c r="B400" s="136"/>
    </row>
    <row r="401" spans="2:2" x14ac:dyDescent="0.2">
      <c r="B401" s="136"/>
    </row>
    <row r="402" spans="2:2" x14ac:dyDescent="0.2">
      <c r="B402" s="136"/>
    </row>
    <row r="403" spans="2:2" x14ac:dyDescent="0.2">
      <c r="B403" s="136"/>
    </row>
    <row r="404" spans="2:2" x14ac:dyDescent="0.2">
      <c r="B404" s="136"/>
    </row>
    <row r="405" spans="2:2" x14ac:dyDescent="0.2">
      <c r="B405" s="136"/>
    </row>
    <row r="406" spans="2:2" x14ac:dyDescent="0.2">
      <c r="B406" s="136"/>
    </row>
    <row r="407" spans="2:2" x14ac:dyDescent="0.2">
      <c r="B407" s="136"/>
    </row>
    <row r="408" spans="2:2" x14ac:dyDescent="0.2">
      <c r="B408" s="136"/>
    </row>
    <row r="409" spans="2:2" x14ac:dyDescent="0.2">
      <c r="B409" s="136"/>
    </row>
    <row r="410" spans="2:2" x14ac:dyDescent="0.2">
      <c r="B410" s="136"/>
    </row>
    <row r="411" spans="2:2" x14ac:dyDescent="0.2">
      <c r="B411" s="136"/>
    </row>
    <row r="412" spans="2:2" x14ac:dyDescent="0.2">
      <c r="B412" s="136"/>
    </row>
    <row r="413" spans="2:2" x14ac:dyDescent="0.2">
      <c r="B413" s="136"/>
    </row>
    <row r="414" spans="2:2" x14ac:dyDescent="0.2">
      <c r="B414" s="136"/>
    </row>
    <row r="415" spans="2:2" x14ac:dyDescent="0.2">
      <c r="B415" s="136"/>
    </row>
    <row r="416" spans="2:2" x14ac:dyDescent="0.2">
      <c r="B416" s="136"/>
    </row>
    <row r="417" spans="2:2" x14ac:dyDescent="0.2">
      <c r="B417" s="136"/>
    </row>
    <row r="418" spans="2:2" x14ac:dyDescent="0.2">
      <c r="B418" s="136"/>
    </row>
    <row r="419" spans="2:2" x14ac:dyDescent="0.2">
      <c r="B419" s="136"/>
    </row>
    <row r="420" spans="2:2" x14ac:dyDescent="0.2">
      <c r="B420" s="136"/>
    </row>
    <row r="421" spans="2:2" x14ac:dyDescent="0.2">
      <c r="B421" s="136"/>
    </row>
    <row r="422" spans="2:2" x14ac:dyDescent="0.2">
      <c r="B422" s="136"/>
    </row>
    <row r="423" spans="2:2" x14ac:dyDescent="0.2">
      <c r="B423" s="136"/>
    </row>
    <row r="424" spans="2:2" x14ac:dyDescent="0.2">
      <c r="B424" s="136"/>
    </row>
    <row r="425" spans="2:2" x14ac:dyDescent="0.2">
      <c r="B425" s="136"/>
    </row>
    <row r="426" spans="2:2" x14ac:dyDescent="0.2">
      <c r="B426" s="136"/>
    </row>
    <row r="427" spans="2:2" x14ac:dyDescent="0.2">
      <c r="B427" s="136"/>
    </row>
    <row r="428" spans="2:2" x14ac:dyDescent="0.2">
      <c r="B428" s="136"/>
    </row>
    <row r="429" spans="2:2" x14ac:dyDescent="0.2">
      <c r="B429" s="136"/>
    </row>
    <row r="430" spans="2:2" x14ac:dyDescent="0.2">
      <c r="B430" s="136"/>
    </row>
    <row r="431" spans="2:2" x14ac:dyDescent="0.2">
      <c r="B431" s="136"/>
    </row>
    <row r="432" spans="2:2" x14ac:dyDescent="0.2">
      <c r="B432" s="136"/>
    </row>
    <row r="433" spans="2:2" x14ac:dyDescent="0.2">
      <c r="B433" s="136"/>
    </row>
    <row r="434" spans="2:2" x14ac:dyDescent="0.2">
      <c r="B434" s="136"/>
    </row>
    <row r="435" spans="2:2" x14ac:dyDescent="0.2">
      <c r="B435" s="136"/>
    </row>
    <row r="436" spans="2:2" x14ac:dyDescent="0.2">
      <c r="B436" s="136"/>
    </row>
    <row r="437" spans="2:2" x14ac:dyDescent="0.2">
      <c r="B437" s="136"/>
    </row>
    <row r="438" spans="2:2" x14ac:dyDescent="0.2">
      <c r="B438" s="136"/>
    </row>
    <row r="439" spans="2:2" x14ac:dyDescent="0.2">
      <c r="B439" s="136"/>
    </row>
    <row r="440" spans="2:2" x14ac:dyDescent="0.2">
      <c r="B440" s="136"/>
    </row>
    <row r="441" spans="2:2" x14ac:dyDescent="0.2">
      <c r="B441" s="136"/>
    </row>
    <row r="442" spans="2:2" x14ac:dyDescent="0.2">
      <c r="B442" s="136"/>
    </row>
    <row r="443" spans="2:2" x14ac:dyDescent="0.2">
      <c r="B443" s="136"/>
    </row>
    <row r="444" spans="2:2" x14ac:dyDescent="0.2">
      <c r="B444" s="136"/>
    </row>
    <row r="445" spans="2:2" x14ac:dyDescent="0.2">
      <c r="B445" s="136"/>
    </row>
    <row r="446" spans="2:2" x14ac:dyDescent="0.2">
      <c r="B446" s="136"/>
    </row>
    <row r="447" spans="2:2" x14ac:dyDescent="0.2">
      <c r="B447" s="136"/>
    </row>
    <row r="448" spans="2:2" x14ac:dyDescent="0.2">
      <c r="B448" s="136"/>
    </row>
    <row r="449" spans="2:2" x14ac:dyDescent="0.2">
      <c r="B449" s="136"/>
    </row>
    <row r="450" spans="2:2" x14ac:dyDescent="0.2">
      <c r="B450" s="136"/>
    </row>
    <row r="451" spans="2:2" x14ac:dyDescent="0.2">
      <c r="B451" s="136"/>
    </row>
    <row r="452" spans="2:2" x14ac:dyDescent="0.2">
      <c r="B452" s="136"/>
    </row>
    <row r="453" spans="2:2" x14ac:dyDescent="0.2">
      <c r="B453" s="136"/>
    </row>
    <row r="454" spans="2:2" x14ac:dyDescent="0.2">
      <c r="B454" s="136"/>
    </row>
    <row r="455" spans="2:2" x14ac:dyDescent="0.2">
      <c r="B455" s="136"/>
    </row>
    <row r="456" spans="2:2" x14ac:dyDescent="0.2">
      <c r="B456" s="136"/>
    </row>
    <row r="457" spans="2:2" x14ac:dyDescent="0.2">
      <c r="B457" s="136"/>
    </row>
    <row r="458" spans="2:2" x14ac:dyDescent="0.2">
      <c r="B458" s="136"/>
    </row>
    <row r="459" spans="2:2" x14ac:dyDescent="0.2">
      <c r="B459" s="136"/>
    </row>
    <row r="460" spans="2:2" x14ac:dyDescent="0.2">
      <c r="B460" s="136"/>
    </row>
    <row r="461" spans="2:2" x14ac:dyDescent="0.2">
      <c r="B461" s="136"/>
    </row>
    <row r="462" spans="2:2" x14ac:dyDescent="0.2">
      <c r="B462" s="136"/>
    </row>
    <row r="463" spans="2:2" x14ac:dyDescent="0.2">
      <c r="B463" s="136"/>
    </row>
    <row r="464" spans="2:2" x14ac:dyDescent="0.2">
      <c r="B464" s="136"/>
    </row>
    <row r="465" spans="2:2" x14ac:dyDescent="0.2">
      <c r="B465" s="136"/>
    </row>
    <row r="466" spans="2:2" x14ac:dyDescent="0.2">
      <c r="B466" s="136"/>
    </row>
    <row r="467" spans="2:2" x14ac:dyDescent="0.2">
      <c r="B467" s="136"/>
    </row>
    <row r="468" spans="2:2" x14ac:dyDescent="0.2">
      <c r="B468" s="136"/>
    </row>
    <row r="469" spans="2:2" x14ac:dyDescent="0.2">
      <c r="B469" s="136"/>
    </row>
    <row r="470" spans="2:2" x14ac:dyDescent="0.2">
      <c r="B470" s="136"/>
    </row>
    <row r="471" spans="2:2" x14ac:dyDescent="0.2">
      <c r="B471" s="136"/>
    </row>
    <row r="472" spans="2:2" x14ac:dyDescent="0.2">
      <c r="B472" s="136"/>
    </row>
    <row r="473" spans="2:2" x14ac:dyDescent="0.2">
      <c r="B473" s="136"/>
    </row>
    <row r="474" spans="2:2" x14ac:dyDescent="0.2">
      <c r="B474" s="136"/>
    </row>
    <row r="475" spans="2:2" x14ac:dyDescent="0.2">
      <c r="B475" s="136"/>
    </row>
    <row r="476" spans="2:2" x14ac:dyDescent="0.2">
      <c r="B476" s="136"/>
    </row>
    <row r="477" spans="2:2" x14ac:dyDescent="0.2">
      <c r="B477" s="136"/>
    </row>
    <row r="478" spans="2:2" x14ac:dyDescent="0.2">
      <c r="B478" s="136"/>
    </row>
    <row r="479" spans="2:2" x14ac:dyDescent="0.2">
      <c r="B479" s="136"/>
    </row>
    <row r="480" spans="2:2" x14ac:dyDescent="0.2">
      <c r="B480" s="136"/>
    </row>
    <row r="481" spans="2:2" x14ac:dyDescent="0.2">
      <c r="B481" s="136"/>
    </row>
    <row r="482" spans="2:2" x14ac:dyDescent="0.2">
      <c r="B482" s="136"/>
    </row>
    <row r="483" spans="2:2" x14ac:dyDescent="0.2">
      <c r="B483" s="136"/>
    </row>
    <row r="484" spans="2:2" x14ac:dyDescent="0.2">
      <c r="B484" s="136"/>
    </row>
    <row r="485" spans="2:2" x14ac:dyDescent="0.2">
      <c r="B485" s="136"/>
    </row>
    <row r="486" spans="2:2" x14ac:dyDescent="0.2">
      <c r="B486" s="136"/>
    </row>
    <row r="487" spans="2:2" x14ac:dyDescent="0.2">
      <c r="B487" s="136"/>
    </row>
    <row r="488" spans="2:2" x14ac:dyDescent="0.2">
      <c r="B488" s="136"/>
    </row>
    <row r="489" spans="2:2" x14ac:dyDescent="0.2">
      <c r="B489" s="136"/>
    </row>
    <row r="490" spans="2:2" x14ac:dyDescent="0.2">
      <c r="B490" s="136"/>
    </row>
    <row r="491" spans="2:2" x14ac:dyDescent="0.2">
      <c r="B491" s="136"/>
    </row>
    <row r="492" spans="2:2" x14ac:dyDescent="0.2">
      <c r="B492" s="136"/>
    </row>
    <row r="493" spans="2:2" x14ac:dyDescent="0.2">
      <c r="B493" s="136"/>
    </row>
    <row r="494" spans="2:2" x14ac:dyDescent="0.2">
      <c r="B494" s="136"/>
    </row>
    <row r="495" spans="2:2" x14ac:dyDescent="0.2">
      <c r="B495" s="136"/>
    </row>
    <row r="496" spans="2:2" x14ac:dyDescent="0.2">
      <c r="B496" s="136"/>
    </row>
    <row r="497" spans="2:2" x14ac:dyDescent="0.2">
      <c r="B497" s="136"/>
    </row>
    <row r="498" spans="2:2" x14ac:dyDescent="0.2">
      <c r="B498" s="136"/>
    </row>
    <row r="499" spans="2:2" x14ac:dyDescent="0.2">
      <c r="B499" s="136"/>
    </row>
    <row r="500" spans="2:2" x14ac:dyDescent="0.2">
      <c r="B500" s="136"/>
    </row>
    <row r="501" spans="2:2" x14ac:dyDescent="0.2">
      <c r="B501" s="136"/>
    </row>
    <row r="502" spans="2:2" x14ac:dyDescent="0.2">
      <c r="B502" s="136"/>
    </row>
    <row r="503" spans="2:2" x14ac:dyDescent="0.2">
      <c r="B503" s="136"/>
    </row>
    <row r="504" spans="2:2" x14ac:dyDescent="0.2">
      <c r="B504" s="136"/>
    </row>
    <row r="505" spans="2:2" x14ac:dyDescent="0.2">
      <c r="B505" s="136"/>
    </row>
    <row r="506" spans="2:2" x14ac:dyDescent="0.2">
      <c r="B506" s="136"/>
    </row>
    <row r="507" spans="2:2" x14ac:dyDescent="0.2">
      <c r="B507" s="136"/>
    </row>
    <row r="508" spans="2:2" x14ac:dyDescent="0.2">
      <c r="B508" s="136"/>
    </row>
    <row r="509" spans="2:2" x14ac:dyDescent="0.2">
      <c r="B509" s="136"/>
    </row>
    <row r="510" spans="2:2" x14ac:dyDescent="0.2">
      <c r="B510" s="136"/>
    </row>
    <row r="511" spans="2:2" x14ac:dyDescent="0.2">
      <c r="B511" s="136"/>
    </row>
    <row r="512" spans="2:2" x14ac:dyDescent="0.2">
      <c r="B512" s="136"/>
    </row>
    <row r="513" spans="2:2" x14ac:dyDescent="0.2">
      <c r="B513" s="136"/>
    </row>
    <row r="514" spans="2:2" x14ac:dyDescent="0.2">
      <c r="B514" s="136"/>
    </row>
    <row r="515" spans="2:2" x14ac:dyDescent="0.2">
      <c r="B515" s="136"/>
    </row>
    <row r="516" spans="2:2" x14ac:dyDescent="0.2">
      <c r="B516" s="136"/>
    </row>
    <row r="517" spans="2:2" x14ac:dyDescent="0.2">
      <c r="B517" s="136"/>
    </row>
    <row r="518" spans="2:2" x14ac:dyDescent="0.2">
      <c r="B518" s="136"/>
    </row>
    <row r="519" spans="2:2" x14ac:dyDescent="0.2">
      <c r="B519" s="136"/>
    </row>
    <row r="520" spans="2:2" x14ac:dyDescent="0.2">
      <c r="B520" s="136"/>
    </row>
    <row r="521" spans="2:2" x14ac:dyDescent="0.2">
      <c r="B521" s="136"/>
    </row>
    <row r="522" spans="2:2" x14ac:dyDescent="0.2">
      <c r="B522" s="136"/>
    </row>
    <row r="523" spans="2:2" x14ac:dyDescent="0.2">
      <c r="B523" s="136"/>
    </row>
    <row r="524" spans="2:2" x14ac:dyDescent="0.2">
      <c r="B524" s="136"/>
    </row>
    <row r="525" spans="2:2" x14ac:dyDescent="0.2">
      <c r="B525" s="136"/>
    </row>
    <row r="526" spans="2:2" x14ac:dyDescent="0.2">
      <c r="B526" s="136"/>
    </row>
    <row r="527" spans="2:2" x14ac:dyDescent="0.2">
      <c r="B527" s="136"/>
    </row>
    <row r="528" spans="2:2" x14ac:dyDescent="0.2">
      <c r="B528" s="136"/>
    </row>
    <row r="529" spans="2:2" x14ac:dyDescent="0.2">
      <c r="B529" s="136"/>
    </row>
    <row r="530" spans="2:2" x14ac:dyDescent="0.2">
      <c r="B530" s="136"/>
    </row>
    <row r="531" spans="2:2" x14ac:dyDescent="0.2">
      <c r="B531" s="136"/>
    </row>
    <row r="532" spans="2:2" x14ac:dyDescent="0.2">
      <c r="B532" s="136"/>
    </row>
    <row r="533" spans="2:2" x14ac:dyDescent="0.2">
      <c r="B533" s="136"/>
    </row>
    <row r="534" spans="2:2" x14ac:dyDescent="0.2">
      <c r="B534" s="136"/>
    </row>
    <row r="535" spans="2:2" x14ac:dyDescent="0.2">
      <c r="B535" s="136"/>
    </row>
    <row r="536" spans="2:2" x14ac:dyDescent="0.2">
      <c r="B536" s="136"/>
    </row>
    <row r="537" spans="2:2" x14ac:dyDescent="0.2">
      <c r="B537" s="136"/>
    </row>
    <row r="538" spans="2:2" x14ac:dyDescent="0.2">
      <c r="B538" s="136"/>
    </row>
    <row r="539" spans="2:2" x14ac:dyDescent="0.2">
      <c r="B539" s="136"/>
    </row>
    <row r="540" spans="2:2" x14ac:dyDescent="0.2">
      <c r="B540" s="136"/>
    </row>
    <row r="541" spans="2:2" x14ac:dyDescent="0.2">
      <c r="B541" s="136"/>
    </row>
    <row r="542" spans="2:2" x14ac:dyDescent="0.2">
      <c r="B542" s="136"/>
    </row>
    <row r="543" spans="2:2" x14ac:dyDescent="0.2">
      <c r="B543" s="136"/>
    </row>
    <row r="544" spans="2:2" x14ac:dyDescent="0.2">
      <c r="B544" s="136"/>
    </row>
    <row r="545" spans="2:2" x14ac:dyDescent="0.2">
      <c r="B545" s="136"/>
    </row>
    <row r="546" spans="2:2" x14ac:dyDescent="0.2">
      <c r="B546" s="136"/>
    </row>
    <row r="547" spans="2:2" x14ac:dyDescent="0.2">
      <c r="B547" s="136"/>
    </row>
    <row r="548" spans="2:2" x14ac:dyDescent="0.2">
      <c r="B548" s="136"/>
    </row>
    <row r="549" spans="2:2" x14ac:dyDescent="0.2">
      <c r="B549" s="136"/>
    </row>
    <row r="550" spans="2:2" x14ac:dyDescent="0.2">
      <c r="B550" s="136"/>
    </row>
    <row r="551" spans="2:2" x14ac:dyDescent="0.2">
      <c r="B551" s="136"/>
    </row>
    <row r="552" spans="2:2" x14ac:dyDescent="0.2">
      <c r="B552" s="136"/>
    </row>
    <row r="553" spans="2:2" x14ac:dyDescent="0.2">
      <c r="B553" s="136"/>
    </row>
    <row r="554" spans="2:2" x14ac:dyDescent="0.2">
      <c r="B554" s="136"/>
    </row>
    <row r="555" spans="2:2" x14ac:dyDescent="0.2">
      <c r="B555" s="136"/>
    </row>
    <row r="556" spans="2:2" x14ac:dyDescent="0.2">
      <c r="B556" s="136"/>
    </row>
    <row r="557" spans="2:2" x14ac:dyDescent="0.2">
      <c r="B557" s="136"/>
    </row>
    <row r="558" spans="2:2" x14ac:dyDescent="0.2">
      <c r="B558" s="136"/>
    </row>
    <row r="559" spans="2:2" x14ac:dyDescent="0.2">
      <c r="B559" s="136"/>
    </row>
    <row r="560" spans="2:2" x14ac:dyDescent="0.2">
      <c r="B560" s="136"/>
    </row>
    <row r="561" spans="2:2" x14ac:dyDescent="0.2">
      <c r="B561" s="136"/>
    </row>
    <row r="562" spans="2:2" x14ac:dyDescent="0.2">
      <c r="B562" s="136"/>
    </row>
    <row r="563" spans="2:2" x14ac:dyDescent="0.2">
      <c r="B563" s="136"/>
    </row>
    <row r="564" spans="2:2" x14ac:dyDescent="0.2">
      <c r="B564" s="136"/>
    </row>
    <row r="565" spans="2:2" x14ac:dyDescent="0.2">
      <c r="B565" s="136"/>
    </row>
    <row r="566" spans="2:2" x14ac:dyDescent="0.2">
      <c r="B566" s="136"/>
    </row>
    <row r="567" spans="2:2" x14ac:dyDescent="0.2">
      <c r="B567" s="136"/>
    </row>
    <row r="568" spans="2:2" x14ac:dyDescent="0.2">
      <c r="B568" s="136"/>
    </row>
    <row r="569" spans="2:2" x14ac:dyDescent="0.2">
      <c r="B569" s="136"/>
    </row>
    <row r="570" spans="2:2" x14ac:dyDescent="0.2">
      <c r="B570" s="136"/>
    </row>
    <row r="571" spans="2:2" x14ac:dyDescent="0.2">
      <c r="B571" s="136"/>
    </row>
    <row r="572" spans="2:2" x14ac:dyDescent="0.2">
      <c r="B572" s="136"/>
    </row>
    <row r="573" spans="2:2" x14ac:dyDescent="0.2">
      <c r="B573" s="136"/>
    </row>
    <row r="574" spans="2:2" x14ac:dyDescent="0.2">
      <c r="B574" s="136"/>
    </row>
    <row r="575" spans="2:2" x14ac:dyDescent="0.2">
      <c r="B575" s="136"/>
    </row>
    <row r="576" spans="2:2" x14ac:dyDescent="0.2">
      <c r="B576" s="136"/>
    </row>
    <row r="577" spans="2:2" x14ac:dyDescent="0.2">
      <c r="B577" s="136"/>
    </row>
    <row r="578" spans="2:2" x14ac:dyDescent="0.2">
      <c r="B578" s="136"/>
    </row>
    <row r="579" spans="2:2" x14ac:dyDescent="0.2">
      <c r="B579" s="136"/>
    </row>
    <row r="580" spans="2:2" x14ac:dyDescent="0.2">
      <c r="B580" s="136"/>
    </row>
    <row r="581" spans="2:2" x14ac:dyDescent="0.2">
      <c r="B581" s="136"/>
    </row>
    <row r="582" spans="2:2" x14ac:dyDescent="0.2">
      <c r="B582" s="136"/>
    </row>
    <row r="583" spans="2:2" x14ac:dyDescent="0.2">
      <c r="B583" s="136"/>
    </row>
    <row r="584" spans="2:2" x14ac:dyDescent="0.2">
      <c r="B584" s="136"/>
    </row>
    <row r="585" spans="2:2" x14ac:dyDescent="0.2">
      <c r="B585" s="136"/>
    </row>
    <row r="586" spans="2:2" x14ac:dyDescent="0.2">
      <c r="B586" s="136"/>
    </row>
    <row r="587" spans="2:2" x14ac:dyDescent="0.2">
      <c r="B587" s="136"/>
    </row>
    <row r="588" spans="2:2" x14ac:dyDescent="0.2">
      <c r="B588" s="136"/>
    </row>
    <row r="589" spans="2:2" x14ac:dyDescent="0.2">
      <c r="B589" s="136"/>
    </row>
    <row r="590" spans="2:2" x14ac:dyDescent="0.2">
      <c r="B590" s="136"/>
    </row>
    <row r="591" spans="2:2" x14ac:dyDescent="0.2">
      <c r="B591" s="136"/>
    </row>
    <row r="592" spans="2:2" x14ac:dyDescent="0.2">
      <c r="B592" s="136"/>
    </row>
    <row r="593" spans="2:2" x14ac:dyDescent="0.2">
      <c r="B593" s="136"/>
    </row>
    <row r="594" spans="2:2" x14ac:dyDescent="0.2">
      <c r="B594" s="136"/>
    </row>
    <row r="595" spans="2:2" x14ac:dyDescent="0.2">
      <c r="B595" s="136"/>
    </row>
    <row r="596" spans="2:2" x14ac:dyDescent="0.2">
      <c r="B596" s="136"/>
    </row>
    <row r="597" spans="2:2" x14ac:dyDescent="0.2">
      <c r="B597" s="136"/>
    </row>
    <row r="598" spans="2:2" x14ac:dyDescent="0.2">
      <c r="B598" s="136"/>
    </row>
    <row r="599" spans="2:2" x14ac:dyDescent="0.2">
      <c r="B599" s="136"/>
    </row>
    <row r="600" spans="2:2" x14ac:dyDescent="0.2">
      <c r="B600" s="136"/>
    </row>
    <row r="601" spans="2:2" x14ac:dyDescent="0.2">
      <c r="B601" s="136"/>
    </row>
    <row r="602" spans="2:2" x14ac:dyDescent="0.2">
      <c r="B602" s="136"/>
    </row>
    <row r="603" spans="2:2" x14ac:dyDescent="0.2">
      <c r="B603" s="136"/>
    </row>
    <row r="604" spans="2:2" x14ac:dyDescent="0.2">
      <c r="B604" s="136"/>
    </row>
    <row r="605" spans="2:2" x14ac:dyDescent="0.2">
      <c r="B605" s="136"/>
    </row>
    <row r="606" spans="2:2" x14ac:dyDescent="0.2">
      <c r="B606" s="136"/>
    </row>
    <row r="607" spans="2:2" x14ac:dyDescent="0.2">
      <c r="B607" s="136"/>
    </row>
    <row r="608" spans="2:2" x14ac:dyDescent="0.2">
      <c r="B608" s="136"/>
    </row>
    <row r="609" spans="2:2" x14ac:dyDescent="0.2">
      <c r="B609" s="136"/>
    </row>
    <row r="610" spans="2:2" x14ac:dyDescent="0.2">
      <c r="B610" s="136"/>
    </row>
    <row r="611" spans="2:2" x14ac:dyDescent="0.2">
      <c r="B611" s="136"/>
    </row>
    <row r="612" spans="2:2" x14ac:dyDescent="0.2">
      <c r="B612" s="136"/>
    </row>
    <row r="613" spans="2:2" x14ac:dyDescent="0.2">
      <c r="B613" s="136"/>
    </row>
    <row r="614" spans="2:2" x14ac:dyDescent="0.2">
      <c r="B614" s="136"/>
    </row>
    <row r="615" spans="2:2" x14ac:dyDescent="0.2">
      <c r="B615" s="136"/>
    </row>
    <row r="616" spans="2:2" x14ac:dyDescent="0.2">
      <c r="B616" s="136"/>
    </row>
    <row r="617" spans="2:2" x14ac:dyDescent="0.2">
      <c r="B617" s="136"/>
    </row>
    <row r="618" spans="2:2" x14ac:dyDescent="0.2">
      <c r="B618" s="136"/>
    </row>
    <row r="619" spans="2:2" x14ac:dyDescent="0.2">
      <c r="B619" s="136"/>
    </row>
    <row r="620" spans="2:2" x14ac:dyDescent="0.2">
      <c r="B620" s="136"/>
    </row>
    <row r="621" spans="2:2" x14ac:dyDescent="0.2">
      <c r="B621" s="136"/>
    </row>
    <row r="622" spans="2:2" x14ac:dyDescent="0.2">
      <c r="B622" s="136"/>
    </row>
    <row r="623" spans="2:2" x14ac:dyDescent="0.2">
      <c r="B623" s="136"/>
    </row>
    <row r="624" spans="2:2" x14ac:dyDescent="0.2">
      <c r="B624" s="136"/>
    </row>
    <row r="625" spans="2:2" x14ac:dyDescent="0.2">
      <c r="B625" s="136"/>
    </row>
    <row r="626" spans="2:2" x14ac:dyDescent="0.2">
      <c r="B626" s="136"/>
    </row>
    <row r="627" spans="2:2" x14ac:dyDescent="0.2">
      <c r="B627" s="136"/>
    </row>
    <row r="628" spans="2:2" x14ac:dyDescent="0.2">
      <c r="B628" s="136"/>
    </row>
    <row r="629" spans="2:2" x14ac:dyDescent="0.2">
      <c r="B629" s="136"/>
    </row>
    <row r="630" spans="2:2" x14ac:dyDescent="0.2">
      <c r="B630" s="136"/>
    </row>
    <row r="631" spans="2:2" x14ac:dyDescent="0.2">
      <c r="B631" s="136"/>
    </row>
    <row r="632" spans="2:2" x14ac:dyDescent="0.2">
      <c r="B632" s="136"/>
    </row>
    <row r="633" spans="2:2" x14ac:dyDescent="0.2">
      <c r="B633" s="136"/>
    </row>
    <row r="634" spans="2:2" x14ac:dyDescent="0.2">
      <c r="B634" s="136"/>
    </row>
    <row r="635" spans="2:2" x14ac:dyDescent="0.2">
      <c r="B635" s="136"/>
    </row>
    <row r="636" spans="2:2" x14ac:dyDescent="0.2">
      <c r="B636" s="136"/>
    </row>
    <row r="637" spans="2:2" x14ac:dyDescent="0.2">
      <c r="B637" s="136"/>
    </row>
    <row r="638" spans="2:2" x14ac:dyDescent="0.2">
      <c r="B638" s="136"/>
    </row>
    <row r="639" spans="2:2" x14ac:dyDescent="0.2">
      <c r="B639" s="136"/>
    </row>
    <row r="640" spans="2:2" x14ac:dyDescent="0.2">
      <c r="B640" s="136"/>
    </row>
    <row r="641" spans="2:2" x14ac:dyDescent="0.2">
      <c r="B641" s="136"/>
    </row>
    <row r="642" spans="2:2" x14ac:dyDescent="0.2">
      <c r="B642" s="136"/>
    </row>
    <row r="643" spans="2:2" x14ac:dyDescent="0.2">
      <c r="B643" s="136"/>
    </row>
    <row r="644" spans="2:2" x14ac:dyDescent="0.2">
      <c r="B644" s="136"/>
    </row>
    <row r="645" spans="2:2" x14ac:dyDescent="0.2">
      <c r="B645" s="136"/>
    </row>
    <row r="646" spans="2:2" x14ac:dyDescent="0.2">
      <c r="B646" s="136"/>
    </row>
    <row r="647" spans="2:2" x14ac:dyDescent="0.2">
      <c r="B647" s="136"/>
    </row>
    <row r="648" spans="2:2" x14ac:dyDescent="0.2">
      <c r="B648" s="136"/>
    </row>
    <row r="649" spans="2:2" x14ac:dyDescent="0.2">
      <c r="B649" s="136"/>
    </row>
    <row r="650" spans="2:2" x14ac:dyDescent="0.2">
      <c r="B650" s="136"/>
    </row>
    <row r="651" spans="2:2" x14ac:dyDescent="0.2">
      <c r="B651" s="136"/>
    </row>
    <row r="652" spans="2:2" x14ac:dyDescent="0.2">
      <c r="B652" s="136"/>
    </row>
    <row r="653" spans="2:2" x14ac:dyDescent="0.2">
      <c r="B653" s="136"/>
    </row>
    <row r="654" spans="2:2" x14ac:dyDescent="0.2">
      <c r="B654" s="136"/>
    </row>
    <row r="655" spans="2:2" x14ac:dyDescent="0.2">
      <c r="B655" s="136"/>
    </row>
    <row r="656" spans="2:2" x14ac:dyDescent="0.2">
      <c r="B656" s="136"/>
    </row>
    <row r="657" spans="2:2" x14ac:dyDescent="0.2">
      <c r="B657" s="136"/>
    </row>
    <row r="658" spans="2:2" x14ac:dyDescent="0.2">
      <c r="B658" s="136"/>
    </row>
    <row r="659" spans="2:2" x14ac:dyDescent="0.2">
      <c r="B659" s="136"/>
    </row>
    <row r="660" spans="2:2" x14ac:dyDescent="0.2">
      <c r="B660" s="136"/>
    </row>
    <row r="661" spans="2:2" x14ac:dyDescent="0.2">
      <c r="B661" s="136"/>
    </row>
    <row r="662" spans="2:2" x14ac:dyDescent="0.2">
      <c r="B662" s="136"/>
    </row>
    <row r="663" spans="2:2" x14ac:dyDescent="0.2">
      <c r="B663" s="136"/>
    </row>
    <row r="664" spans="2:2" x14ac:dyDescent="0.2">
      <c r="B664" s="136"/>
    </row>
    <row r="665" spans="2:2" x14ac:dyDescent="0.2">
      <c r="B665" s="136"/>
    </row>
    <row r="666" spans="2:2" x14ac:dyDescent="0.2">
      <c r="B666" s="136"/>
    </row>
    <row r="667" spans="2:2" x14ac:dyDescent="0.2">
      <c r="B667" s="136"/>
    </row>
    <row r="668" spans="2:2" x14ac:dyDescent="0.2">
      <c r="B668" s="136"/>
    </row>
    <row r="669" spans="2:2" x14ac:dyDescent="0.2">
      <c r="B669" s="136"/>
    </row>
    <row r="670" spans="2:2" x14ac:dyDescent="0.2">
      <c r="B670" s="136"/>
    </row>
    <row r="671" spans="2:2" x14ac:dyDescent="0.2">
      <c r="B671" s="136"/>
    </row>
    <row r="672" spans="2:2" x14ac:dyDescent="0.2">
      <c r="B672" s="136"/>
    </row>
    <row r="673" spans="2:2" x14ac:dyDescent="0.2">
      <c r="B673" s="136"/>
    </row>
    <row r="674" spans="2:2" x14ac:dyDescent="0.2">
      <c r="B674" s="136"/>
    </row>
    <row r="675" spans="2:2" x14ac:dyDescent="0.2">
      <c r="B675" s="136"/>
    </row>
    <row r="676" spans="2:2" x14ac:dyDescent="0.2">
      <c r="B676" s="136"/>
    </row>
    <row r="677" spans="2:2" x14ac:dyDescent="0.2">
      <c r="B677" s="136"/>
    </row>
    <row r="678" spans="2:2" x14ac:dyDescent="0.2">
      <c r="B678" s="136"/>
    </row>
    <row r="679" spans="2:2" x14ac:dyDescent="0.2">
      <c r="B679" s="136"/>
    </row>
    <row r="680" spans="2:2" x14ac:dyDescent="0.2">
      <c r="B680" s="136"/>
    </row>
    <row r="681" spans="2:2" x14ac:dyDescent="0.2">
      <c r="B681" s="136"/>
    </row>
    <row r="682" spans="2:2" x14ac:dyDescent="0.2">
      <c r="B682" s="136"/>
    </row>
    <row r="683" spans="2:2" x14ac:dyDescent="0.2">
      <c r="B683" s="136"/>
    </row>
    <row r="684" spans="2:2" x14ac:dyDescent="0.2">
      <c r="B684" s="136"/>
    </row>
    <row r="685" spans="2:2" x14ac:dyDescent="0.2">
      <c r="B685" s="136"/>
    </row>
    <row r="686" spans="2:2" x14ac:dyDescent="0.2">
      <c r="B686" s="136"/>
    </row>
    <row r="687" spans="2:2" x14ac:dyDescent="0.2">
      <c r="B687" s="136"/>
    </row>
    <row r="688" spans="2:2" x14ac:dyDescent="0.2">
      <c r="B688" s="136"/>
    </row>
    <row r="689" spans="2:2" x14ac:dyDescent="0.2">
      <c r="B689" s="136"/>
    </row>
    <row r="690" spans="2:2" x14ac:dyDescent="0.2">
      <c r="B690" s="136"/>
    </row>
    <row r="691" spans="2:2" x14ac:dyDescent="0.2">
      <c r="B691" s="136"/>
    </row>
    <row r="692" spans="2:2" x14ac:dyDescent="0.2">
      <c r="B692" s="136"/>
    </row>
    <row r="693" spans="2:2" x14ac:dyDescent="0.2">
      <c r="B693" s="136"/>
    </row>
    <row r="694" spans="2:2" x14ac:dyDescent="0.2">
      <c r="B694" s="136"/>
    </row>
    <row r="695" spans="2:2" x14ac:dyDescent="0.2">
      <c r="B695" s="136"/>
    </row>
    <row r="696" spans="2:2" x14ac:dyDescent="0.2">
      <c r="B696" s="136"/>
    </row>
    <row r="697" spans="2:2" x14ac:dyDescent="0.2">
      <c r="B697" s="136"/>
    </row>
    <row r="698" spans="2:2" x14ac:dyDescent="0.2">
      <c r="B698" s="136"/>
    </row>
    <row r="699" spans="2:2" x14ac:dyDescent="0.2">
      <c r="B699" s="136"/>
    </row>
    <row r="700" spans="2:2" x14ac:dyDescent="0.2">
      <c r="B700" s="136"/>
    </row>
    <row r="701" spans="2:2" x14ac:dyDescent="0.2">
      <c r="B701" s="136"/>
    </row>
    <row r="702" spans="2:2" x14ac:dyDescent="0.2">
      <c r="B702" s="136"/>
    </row>
    <row r="703" spans="2:2" x14ac:dyDescent="0.2">
      <c r="B703" s="136"/>
    </row>
    <row r="704" spans="2:2" x14ac:dyDescent="0.2">
      <c r="B704" s="136"/>
    </row>
    <row r="705" spans="2:2" x14ac:dyDescent="0.2">
      <c r="B705" s="136"/>
    </row>
    <row r="706" spans="2:2" x14ac:dyDescent="0.2">
      <c r="B706" s="136"/>
    </row>
    <row r="707" spans="2:2" x14ac:dyDescent="0.2">
      <c r="B707" s="136"/>
    </row>
    <row r="708" spans="2:2" x14ac:dyDescent="0.2">
      <c r="B708" s="136"/>
    </row>
    <row r="709" spans="2:2" x14ac:dyDescent="0.2">
      <c r="B709" s="136"/>
    </row>
    <row r="710" spans="2:2" x14ac:dyDescent="0.2">
      <c r="B710" s="136"/>
    </row>
    <row r="711" spans="2:2" x14ac:dyDescent="0.2">
      <c r="B711" s="136"/>
    </row>
    <row r="712" spans="2:2" x14ac:dyDescent="0.2">
      <c r="B712" s="136"/>
    </row>
    <row r="713" spans="2:2" x14ac:dyDescent="0.2">
      <c r="B713" s="136"/>
    </row>
    <row r="714" spans="2:2" x14ac:dyDescent="0.2">
      <c r="B714" s="136"/>
    </row>
    <row r="715" spans="2:2" x14ac:dyDescent="0.2">
      <c r="B715" s="136"/>
    </row>
    <row r="716" spans="2:2" x14ac:dyDescent="0.2">
      <c r="B716" s="136"/>
    </row>
    <row r="717" spans="2:2" x14ac:dyDescent="0.2">
      <c r="B717" s="136"/>
    </row>
    <row r="718" spans="2:2" x14ac:dyDescent="0.2">
      <c r="B718" s="136"/>
    </row>
    <row r="719" spans="2:2" x14ac:dyDescent="0.2">
      <c r="B719" s="136"/>
    </row>
    <row r="720" spans="2:2" x14ac:dyDescent="0.2">
      <c r="B720" s="136"/>
    </row>
    <row r="721" spans="2:2" x14ac:dyDescent="0.2">
      <c r="B721" s="136"/>
    </row>
    <row r="722" spans="2:2" x14ac:dyDescent="0.2">
      <c r="B722" s="136"/>
    </row>
    <row r="723" spans="2:2" x14ac:dyDescent="0.2">
      <c r="B723" s="136"/>
    </row>
    <row r="724" spans="2:2" x14ac:dyDescent="0.2">
      <c r="B724" s="136"/>
    </row>
    <row r="725" spans="2:2" x14ac:dyDescent="0.2">
      <c r="B725" s="136"/>
    </row>
    <row r="726" spans="2:2" x14ac:dyDescent="0.2">
      <c r="B726" s="136"/>
    </row>
    <row r="727" spans="2:2" x14ac:dyDescent="0.2">
      <c r="B727" s="136"/>
    </row>
    <row r="728" spans="2:2" x14ac:dyDescent="0.2">
      <c r="B728" s="136"/>
    </row>
    <row r="729" spans="2:2" x14ac:dyDescent="0.2">
      <c r="B729" s="136"/>
    </row>
    <row r="730" spans="2:2" x14ac:dyDescent="0.2">
      <c r="B730" s="136"/>
    </row>
    <row r="731" spans="2:2" x14ac:dyDescent="0.2">
      <c r="B731" s="136"/>
    </row>
    <row r="732" spans="2:2" x14ac:dyDescent="0.2">
      <c r="B732" s="136"/>
    </row>
    <row r="733" spans="2:2" x14ac:dyDescent="0.2">
      <c r="B733" s="136"/>
    </row>
    <row r="734" spans="2:2" x14ac:dyDescent="0.2">
      <c r="B734" s="136"/>
    </row>
    <row r="735" spans="2:2" x14ac:dyDescent="0.2">
      <c r="B735" s="136"/>
    </row>
    <row r="736" spans="2:2" x14ac:dyDescent="0.2">
      <c r="B736" s="136"/>
    </row>
    <row r="737" spans="2:2" x14ac:dyDescent="0.2">
      <c r="B737" s="136"/>
    </row>
    <row r="738" spans="2:2" x14ac:dyDescent="0.2">
      <c r="B738" s="136"/>
    </row>
    <row r="739" spans="2:2" x14ac:dyDescent="0.2">
      <c r="B739" s="136"/>
    </row>
    <row r="740" spans="2:2" x14ac:dyDescent="0.2">
      <c r="B740" s="136"/>
    </row>
    <row r="741" spans="2:2" x14ac:dyDescent="0.2">
      <c r="B741" s="136"/>
    </row>
    <row r="742" spans="2:2" x14ac:dyDescent="0.2">
      <c r="B742" s="136"/>
    </row>
    <row r="743" spans="2:2" x14ac:dyDescent="0.2">
      <c r="B743" s="136"/>
    </row>
    <row r="744" spans="2:2" x14ac:dyDescent="0.2">
      <c r="B744" s="136"/>
    </row>
    <row r="745" spans="2:2" x14ac:dyDescent="0.2">
      <c r="B745" s="136"/>
    </row>
    <row r="746" spans="2:2" x14ac:dyDescent="0.2">
      <c r="B746" s="136"/>
    </row>
    <row r="747" spans="2:2" x14ac:dyDescent="0.2">
      <c r="B747" s="136"/>
    </row>
    <row r="748" spans="2:2" x14ac:dyDescent="0.2">
      <c r="B748" s="136"/>
    </row>
    <row r="749" spans="2:2" x14ac:dyDescent="0.2">
      <c r="B749" s="136"/>
    </row>
    <row r="750" spans="2:2" x14ac:dyDescent="0.2">
      <c r="B750" s="136"/>
    </row>
    <row r="751" spans="2:2" x14ac:dyDescent="0.2">
      <c r="B751" s="136"/>
    </row>
    <row r="752" spans="2:2" x14ac:dyDescent="0.2">
      <c r="B752" s="136"/>
    </row>
    <row r="753" spans="2:2" x14ac:dyDescent="0.2">
      <c r="B753" s="136"/>
    </row>
    <row r="754" spans="2:2" x14ac:dyDescent="0.2">
      <c r="B754" s="136"/>
    </row>
    <row r="755" spans="2:2" x14ac:dyDescent="0.2">
      <c r="B755" s="136"/>
    </row>
    <row r="756" spans="2:2" x14ac:dyDescent="0.2">
      <c r="B756" s="136"/>
    </row>
    <row r="757" spans="2:2" x14ac:dyDescent="0.2">
      <c r="B757" s="136"/>
    </row>
    <row r="758" spans="2:2" x14ac:dyDescent="0.2">
      <c r="B758" s="136"/>
    </row>
    <row r="759" spans="2:2" x14ac:dyDescent="0.2">
      <c r="B759" s="136"/>
    </row>
    <row r="760" spans="2:2" x14ac:dyDescent="0.2">
      <c r="B760" s="136"/>
    </row>
    <row r="761" spans="2:2" x14ac:dyDescent="0.2">
      <c r="B761" s="136"/>
    </row>
    <row r="762" spans="2:2" x14ac:dyDescent="0.2">
      <c r="B762" s="136"/>
    </row>
    <row r="763" spans="2:2" x14ac:dyDescent="0.2">
      <c r="B763" s="136"/>
    </row>
    <row r="764" spans="2:2" x14ac:dyDescent="0.2">
      <c r="B764" s="136"/>
    </row>
    <row r="765" spans="2:2" x14ac:dyDescent="0.2">
      <c r="B765" s="136"/>
    </row>
    <row r="766" spans="2:2" x14ac:dyDescent="0.2">
      <c r="B766" s="136"/>
    </row>
    <row r="767" spans="2:2" x14ac:dyDescent="0.2">
      <c r="B767" s="136"/>
    </row>
    <row r="768" spans="2:2" x14ac:dyDescent="0.2">
      <c r="B768" s="136"/>
    </row>
    <row r="769" spans="2:2" x14ac:dyDescent="0.2">
      <c r="B769" s="136"/>
    </row>
    <row r="770" spans="2:2" x14ac:dyDescent="0.2">
      <c r="B770" s="136"/>
    </row>
    <row r="771" spans="2:2" x14ac:dyDescent="0.2">
      <c r="B771" s="136"/>
    </row>
    <row r="772" spans="2:2" x14ac:dyDescent="0.2">
      <c r="B772" s="136"/>
    </row>
    <row r="773" spans="2:2" x14ac:dyDescent="0.2">
      <c r="B773" s="136"/>
    </row>
    <row r="774" spans="2:2" x14ac:dyDescent="0.2">
      <c r="B774" s="136"/>
    </row>
    <row r="775" spans="2:2" x14ac:dyDescent="0.2">
      <c r="B775" s="136"/>
    </row>
    <row r="776" spans="2:2" x14ac:dyDescent="0.2">
      <c r="B776" s="136"/>
    </row>
    <row r="777" spans="2:2" x14ac:dyDescent="0.2">
      <c r="B777" s="136"/>
    </row>
    <row r="778" spans="2:2" x14ac:dyDescent="0.2">
      <c r="B778" s="136"/>
    </row>
    <row r="779" spans="2:2" x14ac:dyDescent="0.2">
      <c r="B779" s="136"/>
    </row>
    <row r="780" spans="2:2" x14ac:dyDescent="0.2">
      <c r="B780" s="136"/>
    </row>
    <row r="781" spans="2:2" x14ac:dyDescent="0.2">
      <c r="B781" s="136"/>
    </row>
    <row r="782" spans="2:2" x14ac:dyDescent="0.2">
      <c r="B782" s="136"/>
    </row>
    <row r="783" spans="2:2" x14ac:dyDescent="0.2">
      <c r="B783" s="136"/>
    </row>
    <row r="784" spans="2:2" x14ac:dyDescent="0.2">
      <c r="B784" s="136"/>
    </row>
    <row r="785" spans="2:2" x14ac:dyDescent="0.2">
      <c r="B785" s="136"/>
    </row>
    <row r="786" spans="2:2" x14ac:dyDescent="0.2">
      <c r="B786" s="136"/>
    </row>
    <row r="787" spans="2:2" x14ac:dyDescent="0.2">
      <c r="B787" s="136"/>
    </row>
    <row r="788" spans="2:2" x14ac:dyDescent="0.2">
      <c r="B788" s="136"/>
    </row>
    <row r="789" spans="2:2" x14ac:dyDescent="0.2">
      <c r="B789" s="136"/>
    </row>
    <row r="790" spans="2:2" x14ac:dyDescent="0.2">
      <c r="B790" s="136"/>
    </row>
    <row r="791" spans="2:2" x14ac:dyDescent="0.2">
      <c r="B791" s="136"/>
    </row>
    <row r="792" spans="2:2" x14ac:dyDescent="0.2">
      <c r="B792" s="136"/>
    </row>
    <row r="793" spans="2:2" x14ac:dyDescent="0.2">
      <c r="B793" s="136"/>
    </row>
    <row r="794" spans="2:2" x14ac:dyDescent="0.2">
      <c r="B794" s="136"/>
    </row>
    <row r="795" spans="2:2" x14ac:dyDescent="0.2">
      <c r="B795" s="136"/>
    </row>
    <row r="796" spans="2:2" x14ac:dyDescent="0.2">
      <c r="B796" s="136"/>
    </row>
    <row r="797" spans="2:2" x14ac:dyDescent="0.2">
      <c r="B797" s="136"/>
    </row>
    <row r="798" spans="2:2" x14ac:dyDescent="0.2">
      <c r="B798" s="136"/>
    </row>
    <row r="799" spans="2:2" x14ac:dyDescent="0.2">
      <c r="B799" s="136"/>
    </row>
    <row r="800" spans="2:2" x14ac:dyDescent="0.2">
      <c r="B800" s="136"/>
    </row>
    <row r="801" spans="2:2" x14ac:dyDescent="0.2">
      <c r="B801" s="136"/>
    </row>
    <row r="802" spans="2:2" x14ac:dyDescent="0.2">
      <c r="B802" s="136"/>
    </row>
    <row r="803" spans="2:2" x14ac:dyDescent="0.2">
      <c r="B803" s="136"/>
    </row>
    <row r="804" spans="2:2" x14ac:dyDescent="0.2">
      <c r="B804" s="136"/>
    </row>
    <row r="805" spans="2:2" x14ac:dyDescent="0.2">
      <c r="B805" s="136"/>
    </row>
    <row r="806" spans="2:2" x14ac:dyDescent="0.2">
      <c r="B806" s="136"/>
    </row>
    <row r="807" spans="2:2" x14ac:dyDescent="0.2">
      <c r="B807" s="136"/>
    </row>
    <row r="808" spans="2:2" x14ac:dyDescent="0.2">
      <c r="B808" s="136"/>
    </row>
    <row r="809" spans="2:2" x14ac:dyDescent="0.2">
      <c r="B809" s="136"/>
    </row>
    <row r="810" spans="2:2" x14ac:dyDescent="0.2">
      <c r="B810" s="136"/>
    </row>
    <row r="811" spans="2:2" x14ac:dyDescent="0.2">
      <c r="B811" s="136"/>
    </row>
    <row r="812" spans="2:2" x14ac:dyDescent="0.2">
      <c r="B812" s="136"/>
    </row>
    <row r="813" spans="2:2" x14ac:dyDescent="0.2">
      <c r="B813" s="136"/>
    </row>
    <row r="814" spans="2:2" x14ac:dyDescent="0.2">
      <c r="B814" s="136"/>
    </row>
    <row r="815" spans="2:2" x14ac:dyDescent="0.2">
      <c r="B815" s="136"/>
    </row>
    <row r="816" spans="2:2" x14ac:dyDescent="0.2">
      <c r="B816" s="136"/>
    </row>
    <row r="817" spans="2:2" x14ac:dyDescent="0.2">
      <c r="B817" s="136"/>
    </row>
    <row r="818" spans="2:2" x14ac:dyDescent="0.2">
      <c r="B818" s="136"/>
    </row>
    <row r="819" spans="2:2" x14ac:dyDescent="0.2">
      <c r="B819" s="136"/>
    </row>
    <row r="820" spans="2:2" x14ac:dyDescent="0.2">
      <c r="B820" s="136"/>
    </row>
    <row r="821" spans="2:2" x14ac:dyDescent="0.2">
      <c r="B821" s="136"/>
    </row>
    <row r="822" spans="2:2" x14ac:dyDescent="0.2">
      <c r="B822" s="136"/>
    </row>
    <row r="823" spans="2:2" x14ac:dyDescent="0.2">
      <c r="B823" s="136"/>
    </row>
    <row r="824" spans="2:2" x14ac:dyDescent="0.2">
      <c r="B824" s="136"/>
    </row>
    <row r="825" spans="2:2" x14ac:dyDescent="0.2">
      <c r="B825" s="136"/>
    </row>
    <row r="826" spans="2:2" x14ac:dyDescent="0.2">
      <c r="B826" s="136"/>
    </row>
    <row r="827" spans="2:2" x14ac:dyDescent="0.2">
      <c r="B827" s="136"/>
    </row>
    <row r="828" spans="2:2" x14ac:dyDescent="0.2">
      <c r="B828" s="136"/>
    </row>
    <row r="829" spans="2:2" x14ac:dyDescent="0.2">
      <c r="B829" s="136"/>
    </row>
    <row r="830" spans="2:2" x14ac:dyDescent="0.2">
      <c r="B830" s="136"/>
    </row>
    <row r="831" spans="2:2" x14ac:dyDescent="0.2">
      <c r="B831" s="136"/>
    </row>
    <row r="832" spans="2:2" x14ac:dyDescent="0.2">
      <c r="B832" s="136"/>
    </row>
    <row r="833" spans="2:2" x14ac:dyDescent="0.2">
      <c r="B833" s="136"/>
    </row>
    <row r="834" spans="2:2" x14ac:dyDescent="0.2">
      <c r="B834" s="136"/>
    </row>
    <row r="835" spans="2:2" x14ac:dyDescent="0.2">
      <c r="B835" s="136"/>
    </row>
    <row r="836" spans="2:2" x14ac:dyDescent="0.2">
      <c r="B836" s="136"/>
    </row>
    <row r="837" spans="2:2" x14ac:dyDescent="0.2">
      <c r="B837" s="136"/>
    </row>
    <row r="838" spans="2:2" x14ac:dyDescent="0.2">
      <c r="B838" s="136"/>
    </row>
    <row r="839" spans="2:2" x14ac:dyDescent="0.2">
      <c r="B839" s="136"/>
    </row>
    <row r="840" spans="2:2" x14ac:dyDescent="0.2">
      <c r="B840" s="136"/>
    </row>
    <row r="841" spans="2:2" x14ac:dyDescent="0.2">
      <c r="B841" s="136"/>
    </row>
    <row r="842" spans="2:2" x14ac:dyDescent="0.2">
      <c r="B842" s="136"/>
    </row>
    <row r="843" spans="2:2" x14ac:dyDescent="0.2">
      <c r="B843" s="136"/>
    </row>
    <row r="844" spans="2:2" x14ac:dyDescent="0.2">
      <c r="B844" s="136"/>
    </row>
    <row r="845" spans="2:2" x14ac:dyDescent="0.2">
      <c r="B845" s="136"/>
    </row>
    <row r="846" spans="2:2" x14ac:dyDescent="0.2">
      <c r="B846" s="136"/>
    </row>
    <row r="847" spans="2:2" x14ac:dyDescent="0.2">
      <c r="B847" s="136"/>
    </row>
    <row r="848" spans="2:2" x14ac:dyDescent="0.2">
      <c r="B848" s="136"/>
    </row>
    <row r="849" spans="2:2" x14ac:dyDescent="0.2">
      <c r="B849" s="136"/>
    </row>
    <row r="850" spans="2:2" x14ac:dyDescent="0.2">
      <c r="B850" s="136"/>
    </row>
    <row r="851" spans="2:2" x14ac:dyDescent="0.2">
      <c r="B851" s="136"/>
    </row>
    <row r="852" spans="2:2" x14ac:dyDescent="0.2">
      <c r="B852" s="136"/>
    </row>
    <row r="853" spans="2:2" x14ac:dyDescent="0.2">
      <c r="B853" s="136"/>
    </row>
    <row r="854" spans="2:2" x14ac:dyDescent="0.2">
      <c r="B854" s="136"/>
    </row>
    <row r="855" spans="2:2" x14ac:dyDescent="0.2">
      <c r="B855" s="136"/>
    </row>
    <row r="856" spans="2:2" x14ac:dyDescent="0.2">
      <c r="B856" s="136"/>
    </row>
    <row r="857" spans="2:2" x14ac:dyDescent="0.2">
      <c r="B857" s="136"/>
    </row>
    <row r="858" spans="2:2" x14ac:dyDescent="0.2">
      <c r="B858" s="136"/>
    </row>
    <row r="859" spans="2:2" x14ac:dyDescent="0.2">
      <c r="B859" s="136"/>
    </row>
    <row r="860" spans="2:2" x14ac:dyDescent="0.2">
      <c r="B860" s="136"/>
    </row>
    <row r="861" spans="2:2" x14ac:dyDescent="0.2">
      <c r="B861" s="136"/>
    </row>
    <row r="862" spans="2:2" x14ac:dyDescent="0.2">
      <c r="B862" s="136"/>
    </row>
    <row r="863" spans="2:2" x14ac:dyDescent="0.2">
      <c r="B863" s="136"/>
    </row>
    <row r="864" spans="2:2" x14ac:dyDescent="0.2">
      <c r="B864" s="136"/>
    </row>
    <row r="865" spans="2:2" x14ac:dyDescent="0.2">
      <c r="B865" s="136"/>
    </row>
    <row r="866" spans="2:2" x14ac:dyDescent="0.2">
      <c r="B866" s="136"/>
    </row>
    <row r="867" spans="2:2" x14ac:dyDescent="0.2">
      <c r="B867" s="136"/>
    </row>
    <row r="868" spans="2:2" x14ac:dyDescent="0.2">
      <c r="B868" s="136"/>
    </row>
    <row r="869" spans="2:2" x14ac:dyDescent="0.2">
      <c r="B869" s="136"/>
    </row>
    <row r="870" spans="2:2" x14ac:dyDescent="0.2">
      <c r="B870" s="136"/>
    </row>
    <row r="871" spans="2:2" x14ac:dyDescent="0.2">
      <c r="B871" s="136"/>
    </row>
    <row r="872" spans="2:2" x14ac:dyDescent="0.2">
      <c r="B872" s="136"/>
    </row>
    <row r="873" spans="2:2" x14ac:dyDescent="0.2">
      <c r="B873" s="136"/>
    </row>
    <row r="874" spans="2:2" x14ac:dyDescent="0.2">
      <c r="B874" s="136"/>
    </row>
    <row r="875" spans="2:2" x14ac:dyDescent="0.2">
      <c r="B875" s="136"/>
    </row>
    <row r="876" spans="2:2" x14ac:dyDescent="0.2">
      <c r="B876" s="136"/>
    </row>
    <row r="877" spans="2:2" x14ac:dyDescent="0.2">
      <c r="B877" s="136"/>
    </row>
    <row r="878" spans="2:2" x14ac:dyDescent="0.2">
      <c r="B878" s="136"/>
    </row>
    <row r="879" spans="2:2" x14ac:dyDescent="0.2">
      <c r="B879" s="136"/>
    </row>
    <row r="880" spans="2:2" x14ac:dyDescent="0.2">
      <c r="B880" s="136"/>
    </row>
    <row r="881" spans="2:2" x14ac:dyDescent="0.2">
      <c r="B881" s="136"/>
    </row>
    <row r="882" spans="2:2" x14ac:dyDescent="0.2">
      <c r="B882" s="136"/>
    </row>
    <row r="883" spans="2:2" x14ac:dyDescent="0.2">
      <c r="B883" s="136"/>
    </row>
    <row r="884" spans="2:2" x14ac:dyDescent="0.2">
      <c r="B884" s="136"/>
    </row>
    <row r="885" spans="2:2" x14ac:dyDescent="0.2">
      <c r="B885" s="136"/>
    </row>
    <row r="886" spans="2:2" x14ac:dyDescent="0.2">
      <c r="B886" s="136"/>
    </row>
    <row r="887" spans="2:2" x14ac:dyDescent="0.2">
      <c r="B887" s="136"/>
    </row>
    <row r="888" spans="2:2" x14ac:dyDescent="0.2">
      <c r="B888" s="136"/>
    </row>
    <row r="889" spans="2:2" x14ac:dyDescent="0.2">
      <c r="B889" s="136"/>
    </row>
    <row r="890" spans="2:2" x14ac:dyDescent="0.2">
      <c r="B890" s="136"/>
    </row>
    <row r="891" spans="2:2" x14ac:dyDescent="0.2">
      <c r="B891" s="136"/>
    </row>
    <row r="892" spans="2:2" x14ac:dyDescent="0.2">
      <c r="B892" s="136"/>
    </row>
    <row r="893" spans="2:2" x14ac:dyDescent="0.2">
      <c r="B893" s="136"/>
    </row>
    <row r="894" spans="2:2" x14ac:dyDescent="0.2">
      <c r="B894" s="136"/>
    </row>
    <row r="895" spans="2:2" x14ac:dyDescent="0.2">
      <c r="B895" s="136"/>
    </row>
    <row r="896" spans="2:2" x14ac:dyDescent="0.2">
      <c r="B896" s="136"/>
    </row>
    <row r="897" spans="2:2" x14ac:dyDescent="0.2">
      <c r="B897" s="136"/>
    </row>
    <row r="898" spans="2:2" x14ac:dyDescent="0.2">
      <c r="B898" s="136"/>
    </row>
    <row r="899" spans="2:2" x14ac:dyDescent="0.2">
      <c r="B899" s="136"/>
    </row>
    <row r="900" spans="2:2" x14ac:dyDescent="0.2">
      <c r="B900" s="136"/>
    </row>
    <row r="901" spans="2:2" x14ac:dyDescent="0.2">
      <c r="B901" s="136"/>
    </row>
    <row r="902" spans="2:2" x14ac:dyDescent="0.2">
      <c r="B902" s="136"/>
    </row>
    <row r="903" spans="2:2" x14ac:dyDescent="0.2">
      <c r="B903" s="136"/>
    </row>
    <row r="904" spans="2:2" x14ac:dyDescent="0.2">
      <c r="B904" s="136"/>
    </row>
    <row r="905" spans="2:2" x14ac:dyDescent="0.2">
      <c r="B905" s="136"/>
    </row>
    <row r="906" spans="2:2" x14ac:dyDescent="0.2">
      <c r="B906" s="136"/>
    </row>
    <row r="907" spans="2:2" x14ac:dyDescent="0.2">
      <c r="B907" s="136"/>
    </row>
    <row r="908" spans="2:2" x14ac:dyDescent="0.2">
      <c r="B908" s="136"/>
    </row>
    <row r="909" spans="2:2" x14ac:dyDescent="0.2">
      <c r="B909" s="136"/>
    </row>
    <row r="910" spans="2:2" x14ac:dyDescent="0.2">
      <c r="B910" s="136"/>
    </row>
    <row r="911" spans="2:2" x14ac:dyDescent="0.2">
      <c r="B911" s="136"/>
    </row>
    <row r="912" spans="2:2" x14ac:dyDescent="0.2">
      <c r="B912" s="136"/>
    </row>
    <row r="913" spans="2:2" x14ac:dyDescent="0.2">
      <c r="B913" s="136"/>
    </row>
    <row r="914" spans="2:2" x14ac:dyDescent="0.2">
      <c r="B914" s="136"/>
    </row>
    <row r="915" spans="2:2" x14ac:dyDescent="0.2">
      <c r="B915" s="136"/>
    </row>
    <row r="916" spans="2:2" x14ac:dyDescent="0.2">
      <c r="B916" s="136"/>
    </row>
    <row r="917" spans="2:2" x14ac:dyDescent="0.2">
      <c r="B917" s="136"/>
    </row>
    <row r="918" spans="2:2" x14ac:dyDescent="0.2">
      <c r="B918" s="136"/>
    </row>
    <row r="919" spans="2:2" x14ac:dyDescent="0.2">
      <c r="B919" s="136"/>
    </row>
    <row r="920" spans="2:2" x14ac:dyDescent="0.2">
      <c r="B920" s="136"/>
    </row>
    <row r="921" spans="2:2" x14ac:dyDescent="0.2">
      <c r="B921" s="136"/>
    </row>
    <row r="922" spans="2:2" x14ac:dyDescent="0.2">
      <c r="B922" s="136"/>
    </row>
    <row r="923" spans="2:2" x14ac:dyDescent="0.2">
      <c r="B923" s="136"/>
    </row>
    <row r="924" spans="2:2" x14ac:dyDescent="0.2">
      <c r="B924" s="136"/>
    </row>
    <row r="925" spans="2:2" x14ac:dyDescent="0.2">
      <c r="B925" s="136"/>
    </row>
    <row r="926" spans="2:2" x14ac:dyDescent="0.2">
      <c r="B926" s="136"/>
    </row>
    <row r="927" spans="2:2" x14ac:dyDescent="0.2">
      <c r="B927" s="136"/>
    </row>
    <row r="928" spans="2:2" x14ac:dyDescent="0.2">
      <c r="B928" s="136"/>
    </row>
    <row r="929" spans="2:2" x14ac:dyDescent="0.2">
      <c r="B929" s="136"/>
    </row>
    <row r="930" spans="2:2" x14ac:dyDescent="0.2">
      <c r="B930" s="136"/>
    </row>
    <row r="931" spans="2:2" x14ac:dyDescent="0.2">
      <c r="B931" s="136"/>
    </row>
    <row r="932" spans="2:2" x14ac:dyDescent="0.2">
      <c r="B932" s="136"/>
    </row>
    <row r="933" spans="2:2" x14ac:dyDescent="0.2">
      <c r="B933" s="136"/>
    </row>
    <row r="934" spans="2:2" x14ac:dyDescent="0.2">
      <c r="B934" s="136"/>
    </row>
    <row r="935" spans="2:2" x14ac:dyDescent="0.2">
      <c r="B935" s="136"/>
    </row>
    <row r="936" spans="2:2" x14ac:dyDescent="0.2">
      <c r="B936" s="136"/>
    </row>
    <row r="937" spans="2:2" x14ac:dyDescent="0.2">
      <c r="B937" s="136"/>
    </row>
    <row r="938" spans="2:2" x14ac:dyDescent="0.2">
      <c r="B938" s="136"/>
    </row>
    <row r="939" spans="2:2" x14ac:dyDescent="0.2">
      <c r="B939" s="136"/>
    </row>
    <row r="940" spans="2:2" x14ac:dyDescent="0.2">
      <c r="B940" s="136"/>
    </row>
    <row r="941" spans="2:2" x14ac:dyDescent="0.2">
      <c r="B941" s="136"/>
    </row>
    <row r="942" spans="2:2" x14ac:dyDescent="0.2">
      <c r="B942" s="136"/>
    </row>
    <row r="943" spans="2:2" x14ac:dyDescent="0.2">
      <c r="B943" s="136"/>
    </row>
    <row r="944" spans="2:2" x14ac:dyDescent="0.2">
      <c r="B944" s="136"/>
    </row>
    <row r="945" spans="2:2" x14ac:dyDescent="0.2">
      <c r="B945" s="136"/>
    </row>
    <row r="946" spans="2:2" x14ac:dyDescent="0.2">
      <c r="B946" s="136"/>
    </row>
    <row r="947" spans="2:2" x14ac:dyDescent="0.2">
      <c r="B947" s="136"/>
    </row>
    <row r="948" spans="2:2" x14ac:dyDescent="0.2">
      <c r="B948" s="136"/>
    </row>
    <row r="949" spans="2:2" x14ac:dyDescent="0.2">
      <c r="B949" s="136"/>
    </row>
    <row r="950" spans="2:2" x14ac:dyDescent="0.2">
      <c r="B950" s="136"/>
    </row>
    <row r="951" spans="2:2" x14ac:dyDescent="0.2">
      <c r="B951" s="136"/>
    </row>
    <row r="952" spans="2:2" x14ac:dyDescent="0.2">
      <c r="B952" s="136"/>
    </row>
    <row r="953" spans="2:2" x14ac:dyDescent="0.2">
      <c r="B953" s="136"/>
    </row>
    <row r="954" spans="2:2" x14ac:dyDescent="0.2">
      <c r="B954" s="136"/>
    </row>
    <row r="955" spans="2:2" x14ac:dyDescent="0.2">
      <c r="B955" s="136"/>
    </row>
    <row r="956" spans="2:2" x14ac:dyDescent="0.2">
      <c r="B956" s="136"/>
    </row>
    <row r="957" spans="2:2" x14ac:dyDescent="0.2">
      <c r="B957" s="136"/>
    </row>
    <row r="958" spans="2:2" x14ac:dyDescent="0.2">
      <c r="B958" s="136"/>
    </row>
    <row r="959" spans="2:2" x14ac:dyDescent="0.2">
      <c r="B959" s="136"/>
    </row>
    <row r="960" spans="2:2" x14ac:dyDescent="0.2">
      <c r="B960" s="136"/>
    </row>
    <row r="961" spans="2:2" x14ac:dyDescent="0.2">
      <c r="B961" s="136"/>
    </row>
    <row r="962" spans="2:2" x14ac:dyDescent="0.2">
      <c r="B962" s="136"/>
    </row>
    <row r="963" spans="2:2" x14ac:dyDescent="0.2">
      <c r="B963" s="136"/>
    </row>
    <row r="964" spans="2:2" x14ac:dyDescent="0.2">
      <c r="B964" s="136"/>
    </row>
    <row r="965" spans="2:2" x14ac:dyDescent="0.2">
      <c r="B965" s="136"/>
    </row>
    <row r="966" spans="2:2" x14ac:dyDescent="0.2">
      <c r="B966" s="136"/>
    </row>
    <row r="967" spans="2:2" x14ac:dyDescent="0.2">
      <c r="B967" s="136"/>
    </row>
    <row r="968" spans="2:2" x14ac:dyDescent="0.2">
      <c r="B968" s="136"/>
    </row>
    <row r="969" spans="2:2" x14ac:dyDescent="0.2">
      <c r="B969" s="136"/>
    </row>
    <row r="970" spans="2:2" x14ac:dyDescent="0.2">
      <c r="B970" s="136"/>
    </row>
    <row r="971" spans="2:2" x14ac:dyDescent="0.2">
      <c r="B971" s="136"/>
    </row>
    <row r="972" spans="2:2" x14ac:dyDescent="0.2">
      <c r="B972" s="136"/>
    </row>
    <row r="973" spans="2:2" x14ac:dyDescent="0.2">
      <c r="B973" s="136"/>
    </row>
    <row r="974" spans="2:2" x14ac:dyDescent="0.2">
      <c r="B974" s="136"/>
    </row>
    <row r="975" spans="2:2" x14ac:dyDescent="0.2">
      <c r="B975" s="136"/>
    </row>
    <row r="976" spans="2:2" x14ac:dyDescent="0.2">
      <c r="B976" s="136"/>
    </row>
    <row r="977" spans="2:2" x14ac:dyDescent="0.2">
      <c r="B977" s="136"/>
    </row>
    <row r="978" spans="2:2" x14ac:dyDescent="0.2">
      <c r="B978" s="136"/>
    </row>
    <row r="979" spans="2:2" x14ac:dyDescent="0.2">
      <c r="B979" s="136"/>
    </row>
    <row r="980" spans="2:2" x14ac:dyDescent="0.2">
      <c r="B980" s="136"/>
    </row>
    <row r="981" spans="2:2" x14ac:dyDescent="0.2">
      <c r="B981" s="136"/>
    </row>
    <row r="982" spans="2:2" x14ac:dyDescent="0.2">
      <c r="B982" s="136"/>
    </row>
    <row r="983" spans="2:2" x14ac:dyDescent="0.2">
      <c r="B983" s="136"/>
    </row>
    <row r="984" spans="2:2" x14ac:dyDescent="0.2">
      <c r="B984" s="136"/>
    </row>
    <row r="985" spans="2:2" x14ac:dyDescent="0.2">
      <c r="B985" s="136"/>
    </row>
    <row r="986" spans="2:2" x14ac:dyDescent="0.2">
      <c r="B986" s="136"/>
    </row>
    <row r="987" spans="2:2" x14ac:dyDescent="0.2">
      <c r="B987" s="136"/>
    </row>
    <row r="988" spans="2:2" x14ac:dyDescent="0.2">
      <c r="B988" s="136"/>
    </row>
    <row r="989" spans="2:2" x14ac:dyDescent="0.2">
      <c r="B989" s="136"/>
    </row>
    <row r="990" spans="2:2" x14ac:dyDescent="0.2">
      <c r="B990" s="136"/>
    </row>
    <row r="991" spans="2:2" x14ac:dyDescent="0.2">
      <c r="B991" s="136"/>
    </row>
    <row r="992" spans="2:2" x14ac:dyDescent="0.2">
      <c r="B992" s="136"/>
    </row>
    <row r="993" spans="2:2" x14ac:dyDescent="0.2">
      <c r="B993" s="136"/>
    </row>
    <row r="994" spans="2:2" x14ac:dyDescent="0.2">
      <c r="B994" s="136"/>
    </row>
    <row r="995" spans="2:2" x14ac:dyDescent="0.2">
      <c r="B995" s="136"/>
    </row>
    <row r="996" spans="2:2" x14ac:dyDescent="0.2">
      <c r="B996" s="136"/>
    </row>
    <row r="997" spans="2:2" x14ac:dyDescent="0.2">
      <c r="B997" s="136"/>
    </row>
    <row r="998" spans="2:2" x14ac:dyDescent="0.2">
      <c r="B998" s="136"/>
    </row>
    <row r="999" spans="2:2" x14ac:dyDescent="0.2">
      <c r="B999" s="136"/>
    </row>
    <row r="1000" spans="2:2" x14ac:dyDescent="0.2">
      <c r="B1000" s="136"/>
    </row>
    <row r="1001" spans="2:2" x14ac:dyDescent="0.2">
      <c r="B1001" s="136"/>
    </row>
    <row r="1002" spans="2:2" x14ac:dyDescent="0.2">
      <c r="B1002" s="136"/>
    </row>
    <row r="1003" spans="2:2" x14ac:dyDescent="0.2">
      <c r="B1003" s="136"/>
    </row>
    <row r="1004" spans="2:2" x14ac:dyDescent="0.2">
      <c r="B1004" s="136"/>
    </row>
    <row r="1005" spans="2:2" x14ac:dyDescent="0.2">
      <c r="B1005" s="136"/>
    </row>
    <row r="1006" spans="2:2" x14ac:dyDescent="0.2">
      <c r="B1006" s="136"/>
    </row>
    <row r="1007" spans="2:2" x14ac:dyDescent="0.2">
      <c r="B1007" s="136"/>
    </row>
    <row r="1008" spans="2:2" x14ac:dyDescent="0.2">
      <c r="B1008" s="136"/>
    </row>
    <row r="1009" spans="2:2" x14ac:dyDescent="0.2">
      <c r="B1009" s="136"/>
    </row>
    <row r="1010" spans="2:2" x14ac:dyDescent="0.2">
      <c r="B1010" s="136"/>
    </row>
    <row r="1011" spans="2:2" x14ac:dyDescent="0.2">
      <c r="B1011" s="136"/>
    </row>
    <row r="1012" spans="2:2" x14ac:dyDescent="0.2">
      <c r="B1012" s="136"/>
    </row>
    <row r="1013" spans="2:2" x14ac:dyDescent="0.2">
      <c r="B1013" s="136"/>
    </row>
    <row r="1014" spans="2:2" x14ac:dyDescent="0.2">
      <c r="B1014" s="136"/>
    </row>
    <row r="1015" spans="2:2" x14ac:dyDescent="0.2">
      <c r="B1015" s="136"/>
    </row>
    <row r="1016" spans="2:2" x14ac:dyDescent="0.2">
      <c r="B1016" s="136"/>
    </row>
    <row r="1017" spans="2:2" x14ac:dyDescent="0.2">
      <c r="B1017" s="136"/>
    </row>
    <row r="1018" spans="2:2" x14ac:dyDescent="0.2">
      <c r="B1018" s="136"/>
    </row>
    <row r="1019" spans="2:2" x14ac:dyDescent="0.2">
      <c r="B1019" s="136"/>
    </row>
    <row r="1020" spans="2:2" x14ac:dyDescent="0.2">
      <c r="B1020" s="136"/>
    </row>
    <row r="1021" spans="2:2" x14ac:dyDescent="0.2">
      <c r="B1021" s="136"/>
    </row>
    <row r="1022" spans="2:2" x14ac:dyDescent="0.2">
      <c r="B1022" s="136"/>
    </row>
    <row r="1023" spans="2:2" x14ac:dyDescent="0.2">
      <c r="B1023" s="136"/>
    </row>
    <row r="1024" spans="2:2" x14ac:dyDescent="0.2">
      <c r="B1024" s="136"/>
    </row>
    <row r="1025" spans="2:2" x14ac:dyDescent="0.2">
      <c r="B1025" s="136"/>
    </row>
    <row r="1026" spans="2:2" x14ac:dyDescent="0.2">
      <c r="B1026" s="136"/>
    </row>
    <row r="1027" spans="2:2" x14ac:dyDescent="0.2">
      <c r="B1027" s="136"/>
    </row>
    <row r="1028" spans="2:2" x14ac:dyDescent="0.2">
      <c r="B1028" s="136"/>
    </row>
    <row r="1029" spans="2:2" x14ac:dyDescent="0.2">
      <c r="B1029" s="136"/>
    </row>
    <row r="1030" spans="2:2" x14ac:dyDescent="0.2">
      <c r="B1030" s="136"/>
    </row>
    <row r="1031" spans="2:2" x14ac:dyDescent="0.2">
      <c r="B1031" s="136"/>
    </row>
    <row r="1032" spans="2:2" x14ac:dyDescent="0.2">
      <c r="B1032" s="136"/>
    </row>
    <row r="1033" spans="2:2" x14ac:dyDescent="0.2">
      <c r="B1033" s="136"/>
    </row>
    <row r="1034" spans="2:2" x14ac:dyDescent="0.2">
      <c r="B1034" s="136"/>
    </row>
    <row r="1035" spans="2:2" x14ac:dyDescent="0.2">
      <c r="B1035" s="136"/>
    </row>
    <row r="1036" spans="2:2" x14ac:dyDescent="0.2">
      <c r="B1036" s="136"/>
    </row>
    <row r="1037" spans="2:2" x14ac:dyDescent="0.2">
      <c r="B1037" s="136"/>
    </row>
    <row r="1038" spans="2:2" x14ac:dyDescent="0.2">
      <c r="B1038" s="136"/>
    </row>
    <row r="1039" spans="2:2" x14ac:dyDescent="0.2">
      <c r="B1039" s="136"/>
    </row>
    <row r="1040" spans="2:2" x14ac:dyDescent="0.2">
      <c r="B1040" s="136"/>
    </row>
    <row r="1041" spans="2:2" x14ac:dyDescent="0.2">
      <c r="B1041" s="136"/>
    </row>
    <row r="1042" spans="2:2" x14ac:dyDescent="0.2">
      <c r="B1042" s="136"/>
    </row>
    <row r="1043" spans="2:2" x14ac:dyDescent="0.2">
      <c r="B1043" s="136"/>
    </row>
    <row r="1044" spans="2:2" x14ac:dyDescent="0.2">
      <c r="B1044" s="136"/>
    </row>
    <row r="1045" spans="2:2" x14ac:dyDescent="0.2">
      <c r="B1045" s="136"/>
    </row>
    <row r="1046" spans="2:2" x14ac:dyDescent="0.2">
      <c r="B1046" s="136"/>
    </row>
    <row r="1047" spans="2:2" x14ac:dyDescent="0.2">
      <c r="B1047" s="136"/>
    </row>
    <row r="1048" spans="2:2" x14ac:dyDescent="0.2">
      <c r="B1048" s="136"/>
    </row>
    <row r="1049" spans="2:2" x14ac:dyDescent="0.2">
      <c r="B1049" s="136"/>
    </row>
    <row r="1050" spans="2:2" x14ac:dyDescent="0.2">
      <c r="B1050" s="136"/>
    </row>
    <row r="1051" spans="2:2" x14ac:dyDescent="0.2">
      <c r="B1051" s="136"/>
    </row>
    <row r="1052" spans="2:2" x14ac:dyDescent="0.2">
      <c r="B1052" s="136"/>
    </row>
    <row r="1053" spans="2:2" x14ac:dyDescent="0.2">
      <c r="B1053" s="136"/>
    </row>
    <row r="1054" spans="2:2" x14ac:dyDescent="0.2">
      <c r="B1054" s="136"/>
    </row>
    <row r="1055" spans="2:2" x14ac:dyDescent="0.2">
      <c r="B1055" s="136"/>
    </row>
    <row r="1056" spans="2:2" x14ac:dyDescent="0.2">
      <c r="B1056" s="136"/>
    </row>
    <row r="1057" spans="2:2" x14ac:dyDescent="0.2">
      <c r="B1057" s="136"/>
    </row>
    <row r="1058" spans="2:2" x14ac:dyDescent="0.2">
      <c r="B1058" s="136"/>
    </row>
    <row r="1059" spans="2:2" x14ac:dyDescent="0.2">
      <c r="B1059" s="136"/>
    </row>
    <row r="1060" spans="2:2" x14ac:dyDescent="0.2">
      <c r="B1060" s="136"/>
    </row>
    <row r="1061" spans="2:2" x14ac:dyDescent="0.2">
      <c r="B1061" s="136"/>
    </row>
    <row r="1062" spans="2:2" x14ac:dyDescent="0.2">
      <c r="B1062" s="136"/>
    </row>
    <row r="1063" spans="2:2" x14ac:dyDescent="0.2">
      <c r="B1063" s="136"/>
    </row>
    <row r="1064" spans="2:2" x14ac:dyDescent="0.2">
      <c r="B1064" s="136"/>
    </row>
    <row r="1065" spans="2:2" x14ac:dyDescent="0.2">
      <c r="B1065" s="136"/>
    </row>
    <row r="1066" spans="2:2" x14ac:dyDescent="0.2">
      <c r="B1066" s="136"/>
    </row>
    <row r="1067" spans="2:2" x14ac:dyDescent="0.2">
      <c r="B1067" s="136"/>
    </row>
    <row r="1068" spans="2:2" x14ac:dyDescent="0.2">
      <c r="B1068" s="136"/>
    </row>
    <row r="1069" spans="2:2" x14ac:dyDescent="0.2">
      <c r="B1069" s="136"/>
    </row>
    <row r="1070" spans="2:2" x14ac:dyDescent="0.2">
      <c r="B1070" s="136"/>
    </row>
    <row r="1071" spans="2:2" x14ac:dyDescent="0.2">
      <c r="B1071" s="136"/>
    </row>
    <row r="1072" spans="2:2" x14ac:dyDescent="0.2">
      <c r="B1072" s="136"/>
    </row>
    <row r="1073" spans="2:2" x14ac:dyDescent="0.2">
      <c r="B1073" s="136"/>
    </row>
    <row r="1074" spans="2:2" x14ac:dyDescent="0.2">
      <c r="B1074" s="136"/>
    </row>
    <row r="1075" spans="2:2" x14ac:dyDescent="0.2">
      <c r="B1075" s="136"/>
    </row>
    <row r="1076" spans="2:2" x14ac:dyDescent="0.2">
      <c r="B1076" s="136"/>
    </row>
    <row r="1077" spans="2:2" x14ac:dyDescent="0.2">
      <c r="B1077" s="136"/>
    </row>
    <row r="1078" spans="2:2" x14ac:dyDescent="0.2">
      <c r="B1078" s="136"/>
    </row>
    <row r="1079" spans="2:2" x14ac:dyDescent="0.2">
      <c r="B1079" s="136"/>
    </row>
    <row r="1080" spans="2:2" x14ac:dyDescent="0.2">
      <c r="B1080" s="136"/>
    </row>
    <row r="1081" spans="2:2" x14ac:dyDescent="0.2">
      <c r="B1081" s="136"/>
    </row>
    <row r="1082" spans="2:2" x14ac:dyDescent="0.2">
      <c r="B1082" s="136"/>
    </row>
    <row r="1083" spans="2:2" x14ac:dyDescent="0.2">
      <c r="B1083" s="136"/>
    </row>
    <row r="1084" spans="2:2" x14ac:dyDescent="0.2">
      <c r="B1084" s="136"/>
    </row>
    <row r="1085" spans="2:2" x14ac:dyDescent="0.2">
      <c r="B1085" s="136"/>
    </row>
    <row r="1086" spans="2:2" x14ac:dyDescent="0.2">
      <c r="B1086" s="136"/>
    </row>
    <row r="1087" spans="2:2" x14ac:dyDescent="0.2">
      <c r="B1087" s="136"/>
    </row>
    <row r="1088" spans="2:2" x14ac:dyDescent="0.2">
      <c r="B1088" s="136"/>
    </row>
    <row r="1089" spans="2:2" x14ac:dyDescent="0.2">
      <c r="B1089" s="136"/>
    </row>
    <row r="1090" spans="2:2" x14ac:dyDescent="0.2">
      <c r="B1090" s="136"/>
    </row>
    <row r="1091" spans="2:2" x14ac:dyDescent="0.2">
      <c r="B1091" s="136"/>
    </row>
    <row r="1092" spans="2:2" x14ac:dyDescent="0.2">
      <c r="B1092" s="136"/>
    </row>
    <row r="1093" spans="2:2" x14ac:dyDescent="0.2">
      <c r="B1093" s="136"/>
    </row>
    <row r="1094" spans="2:2" x14ac:dyDescent="0.2">
      <c r="B1094" s="136"/>
    </row>
    <row r="1095" spans="2:2" x14ac:dyDescent="0.2">
      <c r="B1095" s="136"/>
    </row>
    <row r="1096" spans="2:2" x14ac:dyDescent="0.2">
      <c r="B1096" s="136"/>
    </row>
    <row r="1097" spans="2:2" x14ac:dyDescent="0.2">
      <c r="B1097" s="136"/>
    </row>
    <row r="1098" spans="2:2" x14ac:dyDescent="0.2">
      <c r="B1098" s="136"/>
    </row>
    <row r="1099" spans="2:2" x14ac:dyDescent="0.2">
      <c r="B1099" s="136"/>
    </row>
    <row r="1100" spans="2:2" x14ac:dyDescent="0.2">
      <c r="B1100" s="136"/>
    </row>
    <row r="1101" spans="2:2" x14ac:dyDescent="0.2">
      <c r="B1101" s="136"/>
    </row>
    <row r="1102" spans="2:2" x14ac:dyDescent="0.2">
      <c r="B1102" s="136"/>
    </row>
    <row r="1103" spans="2:2" x14ac:dyDescent="0.2">
      <c r="B1103" s="136"/>
    </row>
    <row r="1104" spans="2:2" x14ac:dyDescent="0.2">
      <c r="B1104" s="136"/>
    </row>
    <row r="1105" spans="2:2" x14ac:dyDescent="0.2">
      <c r="B1105" s="136"/>
    </row>
    <row r="1106" spans="2:2" x14ac:dyDescent="0.2">
      <c r="B1106" s="136"/>
    </row>
    <row r="1107" spans="2:2" x14ac:dyDescent="0.2">
      <c r="B1107" s="136"/>
    </row>
    <row r="1108" spans="2:2" x14ac:dyDescent="0.2">
      <c r="B1108" s="136"/>
    </row>
    <row r="1109" spans="2:2" x14ac:dyDescent="0.2">
      <c r="B1109" s="136"/>
    </row>
    <row r="1110" spans="2:2" x14ac:dyDescent="0.2">
      <c r="B1110" s="136"/>
    </row>
    <row r="1111" spans="2:2" x14ac:dyDescent="0.2">
      <c r="B1111" s="136"/>
    </row>
    <row r="1112" spans="2:2" x14ac:dyDescent="0.2">
      <c r="B1112" s="136"/>
    </row>
    <row r="1113" spans="2:2" x14ac:dyDescent="0.2">
      <c r="B1113" s="136"/>
    </row>
    <row r="1114" spans="2:2" x14ac:dyDescent="0.2">
      <c r="B1114" s="136"/>
    </row>
    <row r="1115" spans="2:2" x14ac:dyDescent="0.2">
      <c r="B1115" s="136"/>
    </row>
    <row r="1116" spans="2:2" x14ac:dyDescent="0.2">
      <c r="B1116" s="136"/>
    </row>
    <row r="1117" spans="2:2" x14ac:dyDescent="0.2">
      <c r="B1117" s="136"/>
    </row>
    <row r="1118" spans="2:2" x14ac:dyDescent="0.2">
      <c r="B1118" s="136"/>
    </row>
    <row r="1119" spans="2:2" x14ac:dyDescent="0.2">
      <c r="B1119" s="136"/>
    </row>
    <row r="1120" spans="2:2" x14ac:dyDescent="0.2">
      <c r="B1120" s="136"/>
    </row>
    <row r="1121" spans="2:2" x14ac:dyDescent="0.2">
      <c r="B1121" s="136"/>
    </row>
    <row r="1122" spans="2:2" x14ac:dyDescent="0.2">
      <c r="B1122" s="136"/>
    </row>
    <row r="1123" spans="2:2" x14ac:dyDescent="0.2">
      <c r="B1123" s="136"/>
    </row>
    <row r="1124" spans="2:2" x14ac:dyDescent="0.2">
      <c r="B1124" s="136"/>
    </row>
    <row r="1125" spans="2:2" x14ac:dyDescent="0.2">
      <c r="B1125" s="136"/>
    </row>
    <row r="1126" spans="2:2" x14ac:dyDescent="0.2">
      <c r="B1126" s="136"/>
    </row>
    <row r="1127" spans="2:2" x14ac:dyDescent="0.2">
      <c r="B1127" s="136"/>
    </row>
    <row r="1128" spans="2:2" x14ac:dyDescent="0.2">
      <c r="B1128" s="136"/>
    </row>
    <row r="1129" spans="2:2" x14ac:dyDescent="0.2">
      <c r="B1129" s="136"/>
    </row>
    <row r="1130" spans="2:2" x14ac:dyDescent="0.2">
      <c r="B1130" s="136"/>
    </row>
    <row r="1131" spans="2:2" x14ac:dyDescent="0.2">
      <c r="B1131" s="136"/>
    </row>
    <row r="1132" spans="2:2" x14ac:dyDescent="0.2">
      <c r="B1132" s="136"/>
    </row>
    <row r="1133" spans="2:2" x14ac:dyDescent="0.2">
      <c r="B1133" s="136"/>
    </row>
    <row r="1134" spans="2:2" x14ac:dyDescent="0.2">
      <c r="B1134" s="136"/>
    </row>
    <row r="1135" spans="2:2" x14ac:dyDescent="0.2">
      <c r="B1135" s="136"/>
    </row>
    <row r="1136" spans="2:2" x14ac:dyDescent="0.2">
      <c r="B1136" s="136"/>
    </row>
    <row r="1137" spans="2:2" x14ac:dyDescent="0.2">
      <c r="B1137" s="136"/>
    </row>
    <row r="1138" spans="2:2" x14ac:dyDescent="0.2">
      <c r="B1138" s="136"/>
    </row>
    <row r="1139" spans="2:2" x14ac:dyDescent="0.2">
      <c r="B1139" s="136"/>
    </row>
    <row r="1140" spans="2:2" x14ac:dyDescent="0.2">
      <c r="B1140" s="136"/>
    </row>
    <row r="1141" spans="2:2" x14ac:dyDescent="0.2">
      <c r="B1141" s="136"/>
    </row>
    <row r="1142" spans="2:2" x14ac:dyDescent="0.2">
      <c r="B1142" s="136"/>
    </row>
    <row r="1143" spans="2:2" x14ac:dyDescent="0.2">
      <c r="B1143" s="136"/>
    </row>
    <row r="1144" spans="2:2" x14ac:dyDescent="0.2">
      <c r="B1144" s="136"/>
    </row>
    <row r="1145" spans="2:2" x14ac:dyDescent="0.2">
      <c r="B1145" s="136"/>
    </row>
    <row r="1146" spans="2:2" x14ac:dyDescent="0.2">
      <c r="B1146" s="136"/>
    </row>
    <row r="1147" spans="2:2" x14ac:dyDescent="0.2">
      <c r="B1147" s="136"/>
    </row>
    <row r="1148" spans="2:2" x14ac:dyDescent="0.2">
      <c r="B1148" s="136"/>
    </row>
    <row r="1149" spans="2:2" x14ac:dyDescent="0.2">
      <c r="B1149" s="136"/>
    </row>
    <row r="1150" spans="2:2" x14ac:dyDescent="0.2">
      <c r="B1150" s="136"/>
    </row>
    <row r="1151" spans="2:2" x14ac:dyDescent="0.2">
      <c r="B1151" s="136"/>
    </row>
    <row r="1152" spans="2:2" x14ac:dyDescent="0.2">
      <c r="B1152" s="136"/>
    </row>
    <row r="1153" spans="2:2" x14ac:dyDescent="0.2">
      <c r="B1153" s="136"/>
    </row>
    <row r="1154" spans="2:2" x14ac:dyDescent="0.2">
      <c r="B1154" s="136"/>
    </row>
    <row r="1155" spans="2:2" x14ac:dyDescent="0.2">
      <c r="B1155" s="136"/>
    </row>
    <row r="1156" spans="2:2" x14ac:dyDescent="0.2">
      <c r="B1156" s="136"/>
    </row>
    <row r="1157" spans="2:2" x14ac:dyDescent="0.2">
      <c r="B1157" s="136"/>
    </row>
    <row r="1158" spans="2:2" x14ac:dyDescent="0.2">
      <c r="B1158" s="136"/>
    </row>
    <row r="1159" spans="2:2" x14ac:dyDescent="0.2">
      <c r="B1159" s="136"/>
    </row>
    <row r="1160" spans="2:2" x14ac:dyDescent="0.2">
      <c r="B1160" s="136"/>
    </row>
    <row r="1161" spans="2:2" x14ac:dyDescent="0.2">
      <c r="B1161" s="136"/>
    </row>
    <row r="1162" spans="2:2" x14ac:dyDescent="0.2">
      <c r="B1162" s="136"/>
    </row>
    <row r="1163" spans="2:2" x14ac:dyDescent="0.2">
      <c r="B1163" s="136"/>
    </row>
    <row r="1164" spans="2:2" x14ac:dyDescent="0.2">
      <c r="B1164" s="136"/>
    </row>
    <row r="1165" spans="2:2" x14ac:dyDescent="0.2">
      <c r="B1165" s="36"/>
    </row>
  </sheetData>
  <sheetProtection sheet="1" objects="1" scenarios="1"/>
  <protectedRanges>
    <protectedRange sqref="B1" name="Range1"/>
    <protectedRange sqref="B2" name="Range2"/>
  </protectedRange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8E7F-A9BE-334F-932D-D136E9C652DF}">
  <sheetPr>
    <tabColor rgb="FF92D050"/>
  </sheetPr>
  <dimension ref="A1:L37"/>
  <sheetViews>
    <sheetView zoomScaleNormal="100" zoomScaleSheetLayoutView="100" workbookViewId="0">
      <selection activeCell="A37" sqref="A37"/>
    </sheetView>
  </sheetViews>
  <sheetFormatPr defaultColWidth="8.47265625" defaultRowHeight="15" x14ac:dyDescent="0.2"/>
  <cols>
    <col min="1" max="1" width="42.375" style="37" customWidth="1"/>
    <col min="2" max="2" width="54.48046875" style="37" customWidth="1"/>
    <col min="3" max="3" width="43.046875" style="37" customWidth="1"/>
    <col min="4" max="7" width="8.47265625" style="37"/>
    <col min="8" max="8" width="43.44921875" style="37" customWidth="1"/>
    <col min="9" max="10" width="8.47265625" style="37"/>
    <col min="11" max="11" width="68.47265625" style="37" customWidth="1"/>
    <col min="12" max="16384" width="8.47265625" style="37"/>
  </cols>
  <sheetData>
    <row r="1" spans="1:12" x14ac:dyDescent="0.2">
      <c r="A1" s="156" t="s">
        <v>311</v>
      </c>
      <c r="B1" s="157">
        <v>20</v>
      </c>
      <c r="C1" s="25"/>
      <c r="H1" s="42" t="s">
        <v>312</v>
      </c>
    </row>
    <row r="2" spans="1:12" x14ac:dyDescent="0.2">
      <c r="A2" s="158" t="s">
        <v>313</v>
      </c>
      <c r="B2" s="158">
        <v>100</v>
      </c>
      <c r="C2" s="25"/>
      <c r="H2" s="42" t="s">
        <v>314</v>
      </c>
    </row>
    <row r="3" spans="1:12" x14ac:dyDescent="0.2">
      <c r="A3" s="159"/>
      <c r="B3" s="160"/>
      <c r="C3" s="25"/>
      <c r="H3" s="42" t="s">
        <v>315</v>
      </c>
    </row>
    <row r="4" spans="1:12" x14ac:dyDescent="0.2">
      <c r="A4" s="59"/>
      <c r="B4" s="96"/>
      <c r="C4" s="63"/>
      <c r="D4" s="25"/>
      <c r="E4" s="25"/>
      <c r="F4" s="25"/>
      <c r="G4" s="25"/>
      <c r="H4" s="42" t="s">
        <v>316</v>
      </c>
      <c r="K4" s="25"/>
    </row>
    <row r="5" spans="1:12" x14ac:dyDescent="0.2">
      <c r="A5" s="161"/>
      <c r="B5" s="53"/>
      <c r="C5" s="98"/>
      <c r="D5" s="25"/>
      <c r="E5" s="25"/>
      <c r="F5" s="25"/>
      <c r="G5" s="25"/>
      <c r="H5" s="42" t="s">
        <v>317</v>
      </c>
      <c r="J5" s="25"/>
      <c r="K5" s="88"/>
      <c r="L5" s="25"/>
    </row>
    <row r="6" spans="1:12" x14ac:dyDescent="0.2">
      <c r="A6" s="62"/>
      <c r="B6" s="53"/>
      <c r="C6" s="98"/>
      <c r="D6" s="25"/>
      <c r="E6" s="25"/>
      <c r="F6" s="25"/>
      <c r="G6" s="25"/>
      <c r="H6" s="41" t="s">
        <v>318</v>
      </c>
      <c r="K6" s="25"/>
    </row>
    <row r="7" spans="1:12" x14ac:dyDescent="0.2">
      <c r="A7" s="62"/>
      <c r="B7" s="53"/>
      <c r="C7" s="147"/>
      <c r="D7" s="25"/>
      <c r="E7" s="25"/>
      <c r="F7" s="25"/>
      <c r="G7" s="25"/>
      <c r="H7" s="42" t="s">
        <v>319</v>
      </c>
    </row>
    <row r="8" spans="1:12" x14ac:dyDescent="0.2">
      <c r="A8" s="162"/>
      <c r="B8" s="53"/>
      <c r="C8" s="147"/>
      <c r="D8" s="25"/>
      <c r="E8" s="25"/>
      <c r="F8" s="25"/>
      <c r="G8" s="25"/>
      <c r="H8" s="42" t="s">
        <v>320</v>
      </c>
    </row>
    <row r="9" spans="1:12" x14ac:dyDescent="0.2">
      <c r="A9" s="62"/>
      <c r="B9" s="97"/>
      <c r="C9" s="147"/>
      <c r="D9" s="25"/>
      <c r="E9" s="25"/>
      <c r="F9" s="25"/>
      <c r="G9" s="25"/>
      <c r="H9" s="42" t="s">
        <v>321</v>
      </c>
    </row>
    <row r="10" spans="1:12" x14ac:dyDescent="0.2">
      <c r="A10" s="162"/>
      <c r="B10" s="100"/>
      <c r="C10" s="163"/>
      <c r="D10" s="25"/>
      <c r="E10" s="25"/>
      <c r="F10" s="25"/>
      <c r="G10" s="25"/>
      <c r="H10" s="42" t="s">
        <v>322</v>
      </c>
    </row>
    <row r="11" spans="1:12" x14ac:dyDescent="0.2">
      <c r="A11" s="62"/>
      <c r="B11" s="88"/>
      <c r="C11" s="147"/>
      <c r="D11" s="25"/>
      <c r="E11" s="25"/>
      <c r="F11" s="25"/>
      <c r="G11" s="25"/>
      <c r="H11" s="42" t="s">
        <v>323</v>
      </c>
    </row>
    <row r="12" spans="1:12" x14ac:dyDescent="0.2">
      <c r="A12" s="25"/>
      <c r="B12" s="25"/>
      <c r="C12" s="25"/>
      <c r="H12" s="42"/>
    </row>
    <row r="13" spans="1:12" x14ac:dyDescent="0.2">
      <c r="H13" s="42"/>
    </row>
    <row r="14" spans="1:12" x14ac:dyDescent="0.2">
      <c r="H14" s="42"/>
    </row>
    <row r="15" spans="1:12" x14ac:dyDescent="0.2">
      <c r="H15" s="41"/>
    </row>
    <row r="16" spans="1:12" x14ac:dyDescent="0.2">
      <c r="H16" s="42"/>
    </row>
    <row r="17" spans="8:8" x14ac:dyDescent="0.2">
      <c r="H17" s="42"/>
    </row>
    <row r="18" spans="8:8" x14ac:dyDescent="0.2">
      <c r="H18" s="42"/>
    </row>
    <row r="19" spans="8:8" x14ac:dyDescent="0.2">
      <c r="H19" s="42"/>
    </row>
    <row r="20" spans="8:8" x14ac:dyDescent="0.2">
      <c r="H20" s="42"/>
    </row>
    <row r="21" spans="8:8" x14ac:dyDescent="0.2">
      <c r="H21" s="42"/>
    </row>
    <row r="22" spans="8:8" x14ac:dyDescent="0.2">
      <c r="H22" s="42"/>
    </row>
    <row r="23" spans="8:8" x14ac:dyDescent="0.2">
      <c r="H23" s="42"/>
    </row>
    <row r="24" spans="8:8" x14ac:dyDescent="0.2">
      <c r="H24" s="42"/>
    </row>
    <row r="25" spans="8:8" x14ac:dyDescent="0.2">
      <c r="H25" s="42"/>
    </row>
    <row r="26" spans="8:8" x14ac:dyDescent="0.2">
      <c r="H26" s="41"/>
    </row>
    <row r="27" spans="8:8" x14ac:dyDescent="0.2">
      <c r="H27" s="42"/>
    </row>
    <row r="28" spans="8:8" x14ac:dyDescent="0.2">
      <c r="H28" s="42"/>
    </row>
    <row r="29" spans="8:8" x14ac:dyDescent="0.2">
      <c r="H29" s="42"/>
    </row>
    <row r="30" spans="8:8" x14ac:dyDescent="0.2">
      <c r="H30" s="42"/>
    </row>
    <row r="31" spans="8:8" x14ac:dyDescent="0.2">
      <c r="H31" s="42"/>
    </row>
    <row r="32" spans="8:8" x14ac:dyDescent="0.2">
      <c r="H32" s="41"/>
    </row>
    <row r="33" spans="1:8" x14ac:dyDescent="0.2">
      <c r="H33" s="42"/>
    </row>
    <row r="34" spans="1:8" x14ac:dyDescent="0.2">
      <c r="H34" s="42"/>
    </row>
    <row r="35" spans="1:8" x14ac:dyDescent="0.2">
      <c r="H35" s="42"/>
    </row>
    <row r="36" spans="1:8" x14ac:dyDescent="0.2">
      <c r="H36" s="42"/>
    </row>
    <row r="37" spans="1:8" ht="409.5" x14ac:dyDescent="0.2">
      <c r="A37" s="37" t="s">
        <v>324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60B3-92E9-ED4A-8D8A-F88109795A2F}">
  <dimension ref="A1:I84"/>
  <sheetViews>
    <sheetView zoomScaleNormal="100" zoomScaleSheetLayoutView="100" workbookViewId="0">
      <selection activeCell="B6" sqref="B6"/>
    </sheetView>
  </sheetViews>
  <sheetFormatPr defaultColWidth="8.875" defaultRowHeight="15" x14ac:dyDescent="0.2"/>
  <cols>
    <col min="1" max="1" width="35.6484375" style="135" customWidth="1"/>
    <col min="2" max="2" width="51.7890625" style="135" customWidth="1"/>
    <col min="3" max="3" width="53" style="135" customWidth="1"/>
    <col min="4" max="7" width="8.875" style="135"/>
    <col min="8" max="8" width="89.0546875" style="135" customWidth="1"/>
    <col min="9" max="16384" width="8.875" style="135"/>
  </cols>
  <sheetData>
    <row r="1" spans="1:9" ht="41.25" x14ac:dyDescent="0.2">
      <c r="A1" s="62" t="s">
        <v>325</v>
      </c>
      <c r="B1" s="168">
        <v>1</v>
      </c>
      <c r="C1" s="134" t="str">
        <f>"Volume Total: "&amp;IF(B2&lt;=10,B2*100,IF(B2&lt;=20,1000+(B2-10)*50,1500+(B2-20)*20))&amp;" ml | Volume 12h: "&amp;TEXT(IF(B2&lt;=10,B2*100,IF(B2&lt;=20,1000+(B2-10)*50,1500+(B2-20)*20))/2,"0.0")&amp;" ml | Taxa de Infusão: "&amp;TEXT(IF(B2&lt;=10,B2*100,IF(B2&lt;=20,1000+(B2-10)*50,1500+(B2-20)*20))/24,"0.0")&amp;" ml/h | Solução: SG 5% 500ml + NaCl 20% "&amp;TEXT(20*(IF(B2&lt;=10,B2*100,IF(B2&lt;=20,1000+(B2-10)*50,1500+(B2-20)*20))/500),"0.0")&amp;" ml + KCl 19,1% "&amp;TEXT(5*(IF(B2&lt;=10,B2*100,IF(B2&lt;=20,1000+(B2-10)*50,1500+(B2-20)*20))/500),"0.0")&amp;" ml"</f>
        <v>Volume Total: 500 ml | Volume 12h: 250 ml | Taxa de Infusão: 21 ml/h | Solução: SG 5% 500ml + NaCl 20% 20 ml + KCl 19,1% 05 ml</v>
      </c>
      <c r="G1" s="136"/>
      <c r="I1" s="136"/>
    </row>
    <row r="2" spans="1:9" ht="58.5" customHeight="1" x14ac:dyDescent="0.2">
      <c r="A2" s="62" t="s">
        <v>326</v>
      </c>
      <c r="B2" s="169">
        <v>5</v>
      </c>
      <c r="C2" s="29" t="str">
        <f>"Reconstituir " &amp; ROUNDUP(IF(B2*40&gt;2500,2500,B2*40)/1000,0) &amp; " frasco(s) com " &amp; ROUNDUP(IF(B2*40&gt;2500,2500,B2*40)/1000,0)*10 &amp; " mL de água destilada. Administrar " &amp; ROUNDUP(IF(B2*40&gt;2500,2500,B2*40)/100,1) &amp; " mL da solução diluído em 100 mL de SF 0,9%. Infundir por via EV de 6/6 horas. Fazer em 30 minutos."</f>
        <v>Reconstituir 1 frasco(s) com 10 mL de água destilada. Administrar 2 mL da solução diluído em 100 mL de SF 0,9%. Infundir por via EV de 6/6 horas. Fazer em 30 minutos.</v>
      </c>
      <c r="D2" s="136"/>
      <c r="G2" s="136"/>
      <c r="H2" s="43" t="s">
        <v>327</v>
      </c>
      <c r="I2" s="136"/>
    </row>
    <row r="3" spans="1:9" ht="46.5" customHeight="1" x14ac:dyDescent="0.2">
      <c r="A3" s="110"/>
      <c r="C3" s="48"/>
      <c r="D3" s="136"/>
      <c r="G3" s="136"/>
      <c r="H3" s="136"/>
      <c r="I3" s="136"/>
    </row>
    <row r="4" spans="1:9" ht="22.5" customHeight="1" x14ac:dyDescent="0.2">
      <c r="A4" s="110"/>
      <c r="C4" s="48"/>
      <c r="D4" s="136"/>
      <c r="G4" s="136"/>
      <c r="H4" s="101" t="s">
        <v>328</v>
      </c>
      <c r="I4" s="136"/>
    </row>
    <row r="5" spans="1:9" ht="21" customHeight="1" x14ac:dyDescent="0.2">
      <c r="A5" s="136"/>
      <c r="B5" s="136"/>
      <c r="C5" s="136"/>
      <c r="G5" s="136"/>
      <c r="H5" s="154" t="s">
        <v>329</v>
      </c>
      <c r="I5" s="136"/>
    </row>
    <row r="6" spans="1:9" ht="30.75" x14ac:dyDescent="0.2">
      <c r="A6" s="28"/>
      <c r="B6" s="164"/>
      <c r="C6" s="28"/>
      <c r="D6" s="136"/>
      <c r="G6" s="136"/>
      <c r="H6" s="44" t="s">
        <v>330</v>
      </c>
      <c r="I6" s="136"/>
    </row>
    <row r="7" spans="1:9" ht="15" customHeight="1" x14ac:dyDescent="0.2">
      <c r="A7" s="28"/>
      <c r="B7" s="28"/>
      <c r="C7" s="28"/>
      <c r="D7" s="136"/>
      <c r="G7" s="136"/>
      <c r="H7" s="44" t="s">
        <v>331</v>
      </c>
      <c r="I7" s="136"/>
    </row>
    <row r="8" spans="1:9" ht="17.25" x14ac:dyDescent="0.2">
      <c r="A8" s="28"/>
      <c r="B8" s="28"/>
      <c r="C8" s="28"/>
      <c r="D8" s="136"/>
      <c r="G8" s="136"/>
      <c r="H8" s="44" t="s">
        <v>332</v>
      </c>
      <c r="I8" s="136"/>
    </row>
    <row r="9" spans="1:9" ht="17.25" x14ac:dyDescent="0.2">
      <c r="A9" s="28"/>
      <c r="B9" s="28"/>
      <c r="C9" s="28"/>
      <c r="D9" s="136"/>
      <c r="G9" s="136"/>
      <c r="H9" s="44" t="s">
        <v>333</v>
      </c>
      <c r="I9" s="136"/>
    </row>
    <row r="10" spans="1:9" ht="17.25" x14ac:dyDescent="0.2">
      <c r="A10" s="28"/>
      <c r="B10" s="28"/>
      <c r="C10" s="28"/>
      <c r="D10" s="136"/>
      <c r="G10" s="136"/>
      <c r="H10" s="44" t="s">
        <v>334</v>
      </c>
      <c r="I10" s="136"/>
    </row>
    <row r="11" spans="1:9" ht="30.75" x14ac:dyDescent="0.2">
      <c r="A11" s="28"/>
      <c r="B11" s="28"/>
      <c r="C11" s="28"/>
      <c r="D11" s="136"/>
      <c r="G11" s="136"/>
      <c r="H11" s="44" t="s">
        <v>335</v>
      </c>
      <c r="I11" s="136"/>
    </row>
    <row r="12" spans="1:9" ht="17.25" x14ac:dyDescent="0.2">
      <c r="A12" s="28"/>
      <c r="B12" s="28"/>
      <c r="C12" s="28"/>
      <c r="D12" s="136"/>
      <c r="G12" s="136"/>
      <c r="H12" s="44" t="s">
        <v>336</v>
      </c>
      <c r="I12" s="136"/>
    </row>
    <row r="13" spans="1:9" ht="17.25" x14ac:dyDescent="0.2">
      <c r="A13" s="28"/>
      <c r="B13" s="28"/>
      <c r="C13" s="28"/>
      <c r="D13" s="136"/>
      <c r="G13" s="136"/>
      <c r="H13" s="44" t="s">
        <v>337</v>
      </c>
      <c r="I13" s="136"/>
    </row>
    <row r="14" spans="1:9" x14ac:dyDescent="0.2">
      <c r="A14" s="28"/>
      <c r="B14" s="28"/>
      <c r="C14" s="28"/>
      <c r="D14" s="136"/>
      <c r="H14" s="136"/>
    </row>
    <row r="15" spans="1:9" x14ac:dyDescent="0.2">
      <c r="A15" s="28"/>
      <c r="B15" s="28"/>
      <c r="C15" s="28"/>
      <c r="D15" s="136"/>
      <c r="G15" s="136"/>
      <c r="H15" s="101" t="s">
        <v>338</v>
      </c>
      <c r="I15" s="136"/>
    </row>
    <row r="16" spans="1:9" ht="81" x14ac:dyDescent="0.2">
      <c r="A16" s="28"/>
      <c r="B16" s="28"/>
      <c r="C16" s="28"/>
      <c r="D16" s="136"/>
      <c r="H16" s="155" t="s">
        <v>339</v>
      </c>
    </row>
    <row r="17" spans="1:4" x14ac:dyDescent="0.2">
      <c r="A17" s="28"/>
      <c r="B17" s="28"/>
      <c r="C17" s="28"/>
      <c r="D17" s="136"/>
    </row>
    <row r="18" spans="1:4" x14ac:dyDescent="0.2">
      <c r="A18" s="28"/>
      <c r="B18" s="28"/>
      <c r="C18" s="28"/>
      <c r="D18" s="136"/>
    </row>
    <row r="19" spans="1:4" x14ac:dyDescent="0.2">
      <c r="A19" s="28"/>
      <c r="B19" s="28"/>
      <c r="C19" s="28"/>
      <c r="D19" s="136"/>
    </row>
    <row r="20" spans="1:4" x14ac:dyDescent="0.2">
      <c r="A20" s="28"/>
      <c r="B20" s="28"/>
      <c r="C20" s="28"/>
      <c r="D20" s="136"/>
    </row>
    <row r="21" spans="1:4" x14ac:dyDescent="0.2">
      <c r="A21" s="28"/>
      <c r="B21" s="28"/>
      <c r="C21" s="28"/>
      <c r="D21" s="136"/>
    </row>
    <row r="22" spans="1:4" x14ac:dyDescent="0.2">
      <c r="A22" s="28"/>
      <c r="B22" s="28"/>
      <c r="C22" s="28"/>
      <c r="D22" s="136"/>
    </row>
    <row r="23" spans="1:4" x14ac:dyDescent="0.2">
      <c r="A23" s="136"/>
      <c r="B23" s="136"/>
      <c r="C23" s="136"/>
    </row>
    <row r="80" spans="1:3" x14ac:dyDescent="0.2">
      <c r="A80" s="137" t="s">
        <v>340</v>
      </c>
      <c r="B80" s="137">
        <v>1960976141</v>
      </c>
      <c r="C80" s="138" t="s">
        <v>341</v>
      </c>
    </row>
    <row r="81" spans="1:3" x14ac:dyDescent="0.2">
      <c r="A81" s="137" t="s">
        <v>342</v>
      </c>
      <c r="B81" s="137" t="s">
        <v>342</v>
      </c>
      <c r="C81" s="138" t="s">
        <v>343</v>
      </c>
    </row>
    <row r="82" spans="1:3" ht="27.75" x14ac:dyDescent="0.2">
      <c r="A82" s="137" t="s">
        <v>344</v>
      </c>
      <c r="B82" s="137" t="s">
        <v>345</v>
      </c>
      <c r="C82" s="138" t="s">
        <v>346</v>
      </c>
    </row>
    <row r="83" spans="1:3" x14ac:dyDescent="0.2">
      <c r="A83" s="137" t="s">
        <v>347</v>
      </c>
      <c r="B83" s="137" t="s">
        <v>348</v>
      </c>
      <c r="C83" s="138" t="s">
        <v>349</v>
      </c>
    </row>
    <row r="84" spans="1:3" x14ac:dyDescent="0.2">
      <c r="A84" s="137" t="s">
        <v>347</v>
      </c>
      <c r="B84" s="138" t="s">
        <v>350</v>
      </c>
      <c r="C84" s="138" t="s">
        <v>351</v>
      </c>
    </row>
  </sheetData>
  <sheetProtection sheet="1" objects="1" scenarios="1"/>
  <hyperlinks>
    <hyperlink ref="B84" r:id="rId1" xr:uid="{27C24816-2F09-4609-AB33-57356F02485A}"/>
    <hyperlink ref="C80" r:id="rId2" xr:uid="{45C34786-B8D3-427F-A4D1-0D0DFC5D9650}"/>
    <hyperlink ref="C83" r:id="rId3" xr:uid="{D76F5133-1D07-4508-9D47-0495707E518F}"/>
    <hyperlink ref="C84" r:id="rId4" xr:uid="{F502E04D-FE65-461C-8EE8-8FA71E89C1B2}"/>
    <hyperlink ref="C81" r:id="rId5" xr:uid="{1F9EE9ED-01A9-4908-9D5D-396F2AE26299}"/>
    <hyperlink ref="C82" r:id="rId6" xr:uid="{C49105E6-C8AF-4020-B12D-E7639FC45F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D02A-3ABF-4CD9-A58A-055F54B9A80D}">
  <sheetPr>
    <tabColor theme="1" tint="0.499984740745262"/>
  </sheetPr>
  <dimension ref="A1:G1165"/>
  <sheetViews>
    <sheetView zoomScale="110" zoomScaleNormal="110" workbookViewId="0">
      <selection activeCell="B9" sqref="B9"/>
    </sheetView>
  </sheetViews>
  <sheetFormatPr defaultColWidth="14.390625" defaultRowHeight="15" x14ac:dyDescent="0.2"/>
  <cols>
    <col min="1" max="1" width="60.66796875" style="27" customWidth="1"/>
    <col min="2" max="2" width="60.66796875" style="28" customWidth="1"/>
    <col min="3" max="3" width="60.66796875" style="25" customWidth="1"/>
    <col min="4" max="4" width="60.66796875" style="37" customWidth="1"/>
    <col min="5" max="5" width="60.66796875" style="166" customWidth="1"/>
    <col min="6" max="6" width="54.8828125" style="166" customWidth="1"/>
    <col min="7" max="19" width="10.89453125" style="166" customWidth="1"/>
    <col min="20" max="16384" width="14.390625" style="166"/>
  </cols>
  <sheetData>
    <row r="1" spans="1:7" x14ac:dyDescent="0.2">
      <c r="A1" s="107" t="s">
        <v>0</v>
      </c>
      <c r="B1" s="58">
        <v>1</v>
      </c>
      <c r="D1" s="31"/>
      <c r="E1" s="41"/>
      <c r="F1" s="27"/>
      <c r="G1" s="171"/>
    </row>
    <row r="2" spans="1:7" x14ac:dyDescent="0.2">
      <c r="A2" s="108" t="s">
        <v>1</v>
      </c>
      <c r="B2" s="105">
        <v>10</v>
      </c>
      <c r="D2" s="33"/>
      <c r="E2" s="49"/>
      <c r="F2" s="27"/>
      <c r="G2" s="171"/>
    </row>
    <row r="3" spans="1:7" x14ac:dyDescent="0.2">
      <c r="A3" s="170" t="s">
        <v>2</v>
      </c>
      <c r="B3" s="60"/>
      <c r="C3" s="40"/>
      <c r="D3" s="61" t="s">
        <v>3</v>
      </c>
      <c r="E3" s="50"/>
      <c r="F3" s="59" t="s">
        <v>4</v>
      </c>
      <c r="G3" s="27"/>
    </row>
    <row r="4" spans="1:7" ht="27.75" x14ac:dyDescent="0.2">
      <c r="A4" s="109" t="s">
        <v>5</v>
      </c>
      <c r="B4" s="28" t="str">
        <f>"Tomar " &amp; ROUND(IF((B2*50)&lt;=1750, IF(((B2*50)/3)/(250/5)&lt;=12, ((B2*50)/3)/(250/5), 10), IF((1750/3)/(250/5)&lt;=12, (1750/3)/(250/5), 10)), 1) &amp; " mL por via oral de 8/8 horas por 7 a 10 dias."</f>
        <v>Tomar 3,3 mL por via oral de 8/8 horas por 7 a 10 dias.</v>
      </c>
      <c r="C4" s="39"/>
      <c r="D4" s="62" t="s">
        <v>6</v>
      </c>
      <c r="E4" s="53" t="str">
        <f>IF(B1&lt;0.9,"Administrar "&amp;ROUNDUP(B2*0.3,1)&amp;" mL por via oral de 24/24 horas. Por 10 dias.",IF(AND(B1&gt;=0.9,B1&lt;=0.11),"Administrar "&amp;ROUNDUP(B2*0.35,1)&amp;" mL por via oral de 24/24 horas. Por 10 dias.",IF(B1&gt;=1,IF(B2&lt;=15,"Administrar 3 mL por via oral de 24/24 horas. Por 10 dias.",IF(AND(B2&gt;15,B2&lt;=23),"Administrar 4,5 mL por via oral de 24/24 horas. Por 10 dias.",IF(AND(B2&gt;23,B2&lt;=40),"Administrar 6 mL por via oral de 24/24 horas. Por 10 dias.","Administrar 7,5 mL por via oral de 24/24 horas. Por 10 dias."))))))</f>
        <v>Administrar 3 mL por via oral de 24/24 horas. Por 10 dias.</v>
      </c>
      <c r="F4" s="51" t="s">
        <v>7</v>
      </c>
      <c r="G4" s="27"/>
    </row>
    <row r="5" spans="1:7" ht="41.25" x14ac:dyDescent="0.2">
      <c r="A5" s="57" t="s">
        <v>8</v>
      </c>
      <c r="B5" s="28" t="str">
        <f>"Tomar " &amp; ROUND(IF((B2*50)&lt;=1750, IF(((B2*50)/3)/(400/5)&lt;=12, ((B2*50)/3)/(400/5), 10), IF((1750/3)/(400/5)&lt;=12, (1750/3)/(400/5), 10)), 1) &amp; " mL por via oral de 8/8 horas por 7 a 10 dias."</f>
        <v>Tomar 2,1 mL por via oral de 8/8 horas por 7 a 10 dias.</v>
      </c>
      <c r="D5" s="59" t="s">
        <v>9</v>
      </c>
      <c r="E5" s="50"/>
      <c r="F5" s="51" t="s">
        <v>10</v>
      </c>
      <c r="G5" s="27"/>
    </row>
    <row r="6" spans="1:7" ht="27.75" x14ac:dyDescent="0.2">
      <c r="A6" s="57" t="s">
        <v>11</v>
      </c>
      <c r="B6" s="28" t="str">
        <f>"Tomar " &amp; ROUND(IF((B2*20)&lt;=1500, IF(((B2*20)/3)/(250/5)&lt;=10, ((B2*20)/3)/(250/5), 10), IF((1500/3)/(250/5)&lt;=10, (1500/3)/(250/5), 10)), 1) &amp; " mL por via oral de 8/8 horas por 7 a 10 dias."</f>
        <v>Tomar 1,3 mL por via oral de 8/8 horas por 7 a 10 dias.</v>
      </c>
      <c r="D6" s="62" t="s">
        <v>6</v>
      </c>
      <c r="E6" s="53" t="str">
        <f>"Oferecer "&amp;IF(B1&lt;0.3,"1,2",IF(AND(B1&gt;=0.3,B1&lt;=0.5),"2",IF(AND(B1&gt;=0.6,B1&lt;=0.11),"2,5",IF(B2&lt;=14,"3",IF(AND(B2&gt;14,B2&lt;=23),"4,5",IF(AND(B2&gt;23,B2&lt;=40),"6","7,5"))))))&amp;" mL de 12 em 12 horas, por 5 dias. Necessário 10 cápsulas ao total."</f>
        <v>Oferecer 3 mL de 12 em 12 horas, por 5 dias. Necessário 10 cápsulas ao total.</v>
      </c>
      <c r="F6" s="51" t="s">
        <v>12</v>
      </c>
      <c r="G6" s="27"/>
    </row>
    <row r="7" spans="1:7" ht="27.75" x14ac:dyDescent="0.2">
      <c r="A7" s="57" t="s">
        <v>13</v>
      </c>
      <c r="B7" s="28" t="str">
        <f>"Tomar " &amp; ROUND(IF((B2*25)&lt;=1750, IF(((B2*25)/2)/(400/5)&lt;=10, ((B2*25)/2)/(400/5), 10), IF((1750/2)/(400/5)&lt;=10, (1750/2)/(400/5), 10)), 1) &amp; " mL por via oral de 12/12 horas por 7 a 10 dias."</f>
        <v>Tomar 1,6 mL por via oral de 12/12 horas por 7 a 10 dias.</v>
      </c>
      <c r="D7" s="33"/>
      <c r="E7" s="49"/>
      <c r="F7" s="51" t="s">
        <v>14</v>
      </c>
      <c r="G7" s="27"/>
    </row>
    <row r="8" spans="1:7" ht="27.75" x14ac:dyDescent="0.2">
      <c r="A8" s="57" t="s">
        <v>15</v>
      </c>
      <c r="B8" s="28" t="str">
        <f>"Tomar " &amp; ROUND(IF((B2*90)&lt;=4000, IF(((B2*90)/2)/(600/5)&lt;=10, ((B2*90)/2)/(600/5), 10), IF((4000/2)/(600/5)&lt;=10, (4000/2)/(600/5), 10)), 1) &amp; " mL por via oral de 12/12 horas por 7 a 10 dias."</f>
        <v>Tomar 3,8 mL por via oral de 12/12 horas por 7 a 10 dias.</v>
      </c>
      <c r="D8" s="33"/>
      <c r="E8" s="49"/>
      <c r="F8" s="52" t="s">
        <v>16</v>
      </c>
      <c r="G8" s="27"/>
    </row>
    <row r="9" spans="1:7" x14ac:dyDescent="0.2">
      <c r="A9" s="57" t="s">
        <v>17</v>
      </c>
      <c r="B9" s="28" t="str">
        <f>"Tomar " &amp; ROUND(IF((B2*20)&lt;=1750, IF(((B2*20)/2)/(200/5)&lt;=12, ((B2*20)/2)/(200/5), 12), IF((1750/2)/(200/5)&lt;=12, (1750/2)/(200/5), 12)), 1) &amp; " mL por via oral de 12/12 horas por 7 a 10 dias."</f>
        <v>Tomar 2,5 mL por via oral de 12/12 horas por 7 a 10 dias.</v>
      </c>
      <c r="C9" s="35"/>
      <c r="D9" s="33"/>
      <c r="E9" s="92"/>
      <c r="F9" s="27"/>
      <c r="G9" s="171"/>
    </row>
    <row r="10" spans="1:7" x14ac:dyDescent="0.2">
      <c r="A10" s="57" t="s">
        <v>18</v>
      </c>
      <c r="B10" s="28" t="str">
        <f>IF(B2&lt;35,"Não se aplica","Tomar " &amp; ROUND(IF((B2*50)&lt;=1750, ((B2*50)/2)/875, (1750/2)/875), 1) &amp; " comprimidos por via oral de 12/12 horas por 7 dias.")</f>
        <v>Não se aplica</v>
      </c>
      <c r="D10" s="33"/>
      <c r="E10" s="146" t="s">
        <v>19</v>
      </c>
      <c r="F10" s="65" t="s">
        <v>20</v>
      </c>
      <c r="G10" s="171"/>
    </row>
    <row r="11" spans="1:7" x14ac:dyDescent="0.2">
      <c r="A11" s="57" t="s">
        <v>21</v>
      </c>
      <c r="B11" s="28" t="str">
        <f>"Tomar " &amp; ROUND(IF((B2*20)&lt;=1000, ((B2*20)/2)/(250/5), (1000/2)/(250/5)), 1) &amp; " mL por via oral de 12/12 horas por 7 a 10 dias."</f>
        <v>Tomar 2 mL por via oral de 12/12 horas por 7 a 10 dias.</v>
      </c>
      <c r="D11" s="125"/>
      <c r="E11" s="62" t="s">
        <v>22</v>
      </c>
      <c r="F11" s="95" t="s">
        <v>23</v>
      </c>
      <c r="G11" s="27"/>
    </row>
    <row r="12" spans="1:7" x14ac:dyDescent="0.2">
      <c r="A12" s="57" t="s">
        <v>24</v>
      </c>
      <c r="B12" s="28" t="str">
        <f>"Tomar " &amp; ROUND(IF((B2*20)&lt;=1000, ((B2*20)/2)/(250/5), (1000/2)/(250/5)), 1) &amp; " mL por via oral de 12/12 horas por 7 a 10 dias."</f>
        <v>Tomar 2 mL por via oral de 12/12 horas por 7 a 10 dias.</v>
      </c>
      <c r="D12" s="33"/>
      <c r="E12" s="49"/>
      <c r="F12" s="93" t="s">
        <v>25</v>
      </c>
      <c r="G12" s="27"/>
    </row>
    <row r="13" spans="1:7" x14ac:dyDescent="0.2">
      <c r="A13" s="57" t="s">
        <v>26</v>
      </c>
      <c r="B13" s="28" t="str">
        <f>"Tomar " &amp; ROUND(IF((B2*20)&lt;=1000, ((B2*20)/2)/(375/5), (1000/2)/(375/5)), 1) &amp; " mL por via oral de 12/12 horas por 7 a 10 dias."</f>
        <v>Tomar 1,3 mL por via oral de 12/12 horas por 7 a 10 dias.</v>
      </c>
      <c r="D13" s="33"/>
      <c r="E13" s="49"/>
      <c r="F13" s="93" t="s">
        <v>27</v>
      </c>
      <c r="G13" s="27"/>
    </row>
    <row r="14" spans="1:7" ht="68.25" x14ac:dyDescent="0.2">
      <c r="A14" s="57" t="s">
        <v>28</v>
      </c>
      <c r="B14" s="28" t="str">
        <f>"Tomar " &amp; ROUND(IF((B2*25)&lt;=2000, B2*25/50/4, 2000/50/4), 1) &amp; " mL por via oral de 6/6 horas ou " &amp; ROUND(IF((B2*25)&lt;=2000, B2*25/50/2, 2000/50/2), 1) &amp; " mL por via oral de 12/12 horas por 7 a 10 dias."</f>
        <v>Tomar 1,3 mL por via oral de 6/6 horas ou 2,5 mL por via oral de 12/12 horas por 7 a 10 dias.</v>
      </c>
      <c r="D14" s="33"/>
      <c r="E14" s="49"/>
      <c r="F14" s="93" t="s">
        <v>29</v>
      </c>
      <c r="G14" s="27"/>
    </row>
    <row r="15" spans="1:7" ht="41.25" x14ac:dyDescent="0.2">
      <c r="A15" s="57" t="s">
        <v>30</v>
      </c>
      <c r="B15" s="28" t="str">
        <f>"Tomar " &amp; ROUND(IF((B2*10)&lt;=1000, (B2*10)/(200/5), 1000/(200/5)), 1) &amp; " mL por via oral uma vez ao dia por 3 a 5 dias."</f>
        <v>Tomar 2,5 mL por via oral uma vez ao dia por 3 a 5 dias.</v>
      </c>
      <c r="D15" s="33"/>
      <c r="E15" s="49"/>
      <c r="F15" s="93" t="s">
        <v>31</v>
      </c>
      <c r="G15" s="27"/>
    </row>
    <row r="16" spans="1:7" ht="54.75" x14ac:dyDescent="0.2">
      <c r="A16" s="57" t="s">
        <v>32</v>
      </c>
      <c r="B16" s="28" t="str">
        <f>"Tomar " &amp; ROUND(IF((B2*7.5)&lt;=1000, IF(((B2*7.5)/2)/(125/5)&lt;=10, ((B2*7.5)/2)/(125/5), 10), IF((1000/2)/(125/5)&lt;=10, (1000/2)/(125/5), 10)), 1) &amp; " mL por via oral de 12/12 horas por 7 a 14 dias."</f>
        <v>Tomar 1,5 mL por via oral de 12/12 horas por 7 a 14 dias.</v>
      </c>
      <c r="D16" s="33"/>
      <c r="E16" s="49"/>
      <c r="F16" s="94" t="s">
        <v>33</v>
      </c>
      <c r="G16" s="27"/>
    </row>
    <row r="17" spans="1:6" x14ac:dyDescent="0.2">
      <c r="A17" s="57" t="s">
        <v>34</v>
      </c>
      <c r="B17" s="28" t="str">
        <f>"Tomar " &amp; ROUND(IF((B2*7.5)&lt;=1000, IF(((B2*7.5)/2)/(250/5)&lt;=10, ((B2*7.5)/2)/(250/5), 10), IF((1000/2)/(250/5)&lt;=10, (1000/2)/(250/5), 10)), 1) &amp; " mL por via oral de 12/12 horas por 7 a 14 dias."</f>
        <v>Tomar 0,8 mL por via oral de 12/12 horas por 7 a 14 dias.</v>
      </c>
      <c r="D17" s="33"/>
      <c r="E17" s="42"/>
      <c r="F17" s="27"/>
    </row>
    <row r="18" spans="1:6" x14ac:dyDescent="0.2">
      <c r="A18" s="110" t="s">
        <v>35</v>
      </c>
      <c r="B18" s="55" t="str">
        <f>"Tomar "&amp;ROUND((IF(B2*15&gt;1000,1000/2,(B2*15)/2)*5)/250,1)&amp;" mL por via oral de 12/12 horas por 5 a 7 dias."</f>
        <v>Tomar 1,5 mL por via oral de 12/12 horas por 5 a 7 dias.</v>
      </c>
      <c r="D18" s="33"/>
      <c r="E18" s="42"/>
      <c r="F18" s="27"/>
    </row>
    <row r="19" spans="1:6" x14ac:dyDescent="0.2">
      <c r="A19" s="104" t="s">
        <v>36</v>
      </c>
      <c r="B19" s="28" t="str">
        <f>"Tomar " &amp; ROUND(IF((B2*5)&lt;=100, IF(((B2*5)/4)/5&lt;=10, ((B2*5)/4)/5, 10), IF((100/4)/5&lt;=10, (100/4)/5, 10)), 1) &amp; " mL por via oral de 6/6 horas por 7 dias."</f>
        <v>Tomar 2,5 mL por via oral de 6/6 horas por 7 dias.</v>
      </c>
      <c r="D19" s="33"/>
      <c r="E19" s="41"/>
      <c r="F19" s="27"/>
    </row>
    <row r="20" spans="1:6" x14ac:dyDescent="0.2">
      <c r="A20" s="104" t="s">
        <v>37</v>
      </c>
      <c r="B20" s="28" t="str">
        <f>IF(B2&lt;28.6,"Não se aplica",IF((B2*7)&lt;=300,"Tomar 1 comprimido de 12/12 horas por 7 dias.",IF((B2*7)&lt;=400,"Tomar 1 comprimido de 8/8 horas por 7 dias.", "Tomar 1 comprimido de 6/6 horas por 7 dias.")))</f>
        <v>Não se aplica</v>
      </c>
      <c r="D20" s="33"/>
      <c r="E20" s="42"/>
      <c r="F20" s="27"/>
    </row>
    <row r="21" spans="1:6" x14ac:dyDescent="0.2">
      <c r="A21" s="57" t="s">
        <v>38</v>
      </c>
      <c r="B21" s="28" t="str">
        <f>"Tomar " &amp; ROUND(IF((B2*50)&lt;=1200, ((B2*50)/3)/(200/5), (1200/3)/(200/5)), 1) &amp; " mL por via oral de 8/8 horas por 7 a 10 dias."</f>
        <v>Tomar 4,2 mL por via oral de 8/8 horas por 7 a 10 dias.</v>
      </c>
      <c r="D21" s="33"/>
      <c r="E21" s="42"/>
      <c r="F21" s="27"/>
    </row>
    <row r="22" spans="1:6" x14ac:dyDescent="0.2">
      <c r="A22" s="57" t="s">
        <v>39</v>
      </c>
      <c r="B22" s="28" t="str">
        <f>"Tomar " &amp; ROUND(IF((B2*20)&lt;=1750, IF(((B2*20)/2)/(200/5)&lt;=15, ((B2*20)/2)/(200/5), 15), IF((1750/2)/(200/5)&lt;=15, (1750/2)/(200/5), 15)), 1) &amp; " mL por via oral de 12/12 horas por 7 a 10 dias."</f>
        <v>Tomar 2,5 mL por via oral de 12/12 horas por 7 a 10 dias.</v>
      </c>
      <c r="D22" s="31"/>
      <c r="E22" s="42"/>
      <c r="F22" s="27"/>
    </row>
    <row r="23" spans="1:6" x14ac:dyDescent="0.2">
      <c r="A23" s="57" t="s">
        <v>40</v>
      </c>
      <c r="B23" s="28" t="str">
        <f>"Tomar " &amp; ROUND(IF((B2*20)&lt;=1750, IF(((B2*20)/2)/(400/5)&lt;=10, ((B2*20)/2)/(400/5), 10), IF((1750/2)/(400/5)&lt;=10, (1750/2)/(400/5), 10)), 1) &amp; " mL por via oral de 12/12 horas por 7 a 10 dias."</f>
        <v>Tomar 1,3 mL por via oral de 12/12 horas por 7 a 10 dias.</v>
      </c>
      <c r="D23" s="31"/>
      <c r="E23" s="42"/>
      <c r="F23" s="27"/>
    </row>
    <row r="24" spans="1:6" x14ac:dyDescent="0.2">
      <c r="A24" s="57" t="s">
        <v>41</v>
      </c>
      <c r="B24" s="28" t="str">
        <f>"Tomar " &amp; ROUND(IF((B2*30)&lt;=1000, ((B2*30)/2)/(250/5), (1000/2)/(250/5)), 1) &amp; " mL por via oral de 12/12 horas por 7 a 10 dias."</f>
        <v>Tomar 3 mL por via oral de 12/12 horas por 7 a 10 dias.</v>
      </c>
      <c r="C24" s="27"/>
      <c r="D24" s="33"/>
      <c r="E24" s="42"/>
      <c r="F24" s="27"/>
    </row>
    <row r="25" spans="1:6" x14ac:dyDescent="0.2">
      <c r="A25" s="57" t="s">
        <v>42</v>
      </c>
      <c r="B25" s="28" t="str">
        <f>"Tomar " &amp; ROUND(IF((B2*30)&lt;=1000, ((B2*30)/2)/(500/5), (1000/2)/(500/5)), 1) &amp; " mL por via oral de 12/12 horas por 7 a 10 dias."</f>
        <v>Tomar 1,5 mL por via oral de 12/12 horas por 7 a 10 dias.</v>
      </c>
      <c r="D25" s="33"/>
      <c r="E25" s="42"/>
      <c r="F25" s="27"/>
    </row>
    <row r="26" spans="1:6" x14ac:dyDescent="0.2">
      <c r="A26" s="57" t="s">
        <v>43</v>
      </c>
      <c r="B26" s="55" t="str">
        <f>IF(B1&lt;0.4,"Contraindicado ", "Tomar "&amp;ROUNDUP((B2*13.75)/50,2)&amp;" mL por via oral de 6/6 horas. Por 7 a 14 dias.")</f>
        <v>Tomar 2,75 mL por via oral de 6/6 horas. Por 7 a 14 dias.</v>
      </c>
      <c r="D26" s="33"/>
      <c r="E26" s="42"/>
      <c r="F26" s="27"/>
    </row>
    <row r="27" spans="1:6" x14ac:dyDescent="0.2">
      <c r="A27" s="170" t="s">
        <v>44</v>
      </c>
      <c r="B27" s="60"/>
      <c r="C27" s="27"/>
      <c r="D27" s="33"/>
      <c r="E27" s="42"/>
      <c r="F27" s="27"/>
    </row>
    <row r="28" spans="1:6" x14ac:dyDescent="0.2">
      <c r="A28" s="57" t="s">
        <v>45</v>
      </c>
      <c r="B28" s="28" t="str">
        <f>"Tomar " &amp; ROUND(IF((B2*15)&lt;=500,(B2*15)/25,20),0) &amp; " gotas por via oral de 6/6 horas."</f>
        <v>Tomar 6 gotas por via oral de 6/6 horas.</v>
      </c>
      <c r="C28" s="27"/>
      <c r="D28" s="33"/>
      <c r="E28" s="42"/>
      <c r="F28" s="27"/>
    </row>
    <row r="29" spans="1:6" x14ac:dyDescent="0.2">
      <c r="A29" s="57" t="s">
        <v>46</v>
      </c>
      <c r="B29" s="28" t="str">
        <f>"Tomar " &amp; ROUND(IF((B2*15)&lt;=500, (B2*15)/50, 500/50), 1) &amp; " mL por via oral de 6/6 horas."</f>
        <v>Tomar 3 mL por via oral de 6/6 horas.</v>
      </c>
      <c r="C29" s="27"/>
      <c r="D29" s="33"/>
      <c r="E29" s="42"/>
      <c r="F29" s="27"/>
    </row>
    <row r="30" spans="1:6" x14ac:dyDescent="0.2">
      <c r="A30" s="57" t="s">
        <v>47</v>
      </c>
      <c r="B30" s="28" t="str">
        <f>"Administrar " &amp; ROUND(IF((B2*15)&lt;=1000, (B2*15)/500, 1000/500), 1) &amp; " mL por via EV ou IM a cada 6 horas."</f>
        <v>Administrar 0,3 mL por via EV ou IM a cada 6 horas.</v>
      </c>
      <c r="C30" s="125"/>
      <c r="D30" s="33"/>
      <c r="E30" s="41"/>
      <c r="F30" s="27"/>
    </row>
    <row r="31" spans="1:6" ht="27.75" x14ac:dyDescent="0.2">
      <c r="A31" s="57" t="s">
        <v>48</v>
      </c>
      <c r="B31" s="28" t="str">
        <f>"Administrar " &amp; ROUND(IF((B2*1)&lt;=100, (B2*1)/50, 100/50), 1) &amp; " mL por via EV diluido em 50 ml de SF 0,9% (Administrar bem lentamente), a cada 8 horas."</f>
        <v>Administrar 0,2 mL por via EV diluido em 50 ml de SF 0,9% (Administrar bem lentamente), a cada 8 horas.</v>
      </c>
      <c r="C31" s="27"/>
      <c r="D31" s="33"/>
      <c r="E31" s="42"/>
      <c r="F31" s="27"/>
    </row>
    <row r="32" spans="1:6" x14ac:dyDescent="0.2">
      <c r="A32" s="57" t="s">
        <v>49</v>
      </c>
      <c r="B32" s="28" t="str">
        <f>"Tomar " &amp; ROUND(IF((B2*1)&lt;=50,(B2*1)/2.5,20),0) &amp; " gotas por via oral de 8/8 horas. (Se dor muito forte)"</f>
        <v>Tomar 4 gotas por via oral de 8/8 horas. (Se dor muito forte)</v>
      </c>
      <c r="D32" s="33"/>
      <c r="E32" s="42"/>
      <c r="F32" s="27"/>
    </row>
    <row r="33" spans="1:6" x14ac:dyDescent="0.2">
      <c r="A33" s="57" t="s">
        <v>50</v>
      </c>
      <c r="B33" s="28" t="str">
        <f>"Tomar " &amp; ROUND(IF((B2*15)&lt;=1000, (B2*15)/25, 1000/25), 0) &amp; " gotas por via oral de 6/6 horas."</f>
        <v>Tomar 6 gotas por via oral de 6/6 horas.</v>
      </c>
      <c r="C33" s="27"/>
      <c r="D33" s="33"/>
      <c r="E33" s="42"/>
      <c r="F33" s="27"/>
    </row>
    <row r="34" spans="1:6" x14ac:dyDescent="0.2">
      <c r="A34" s="57" t="s">
        <v>51</v>
      </c>
      <c r="B34" s="28" t="str">
        <f>"Administrar " &amp; ROUND(IF((B2*15)&lt;=1000, (B2*15)/500, 1000/500), 1) &amp; " mL por via EV diluido em 50 ml de SF 0,9% a cada 6 horas."</f>
        <v>Administrar 0,3 mL por via EV diluido em 50 ml de SF 0,9% a cada 6 horas.</v>
      </c>
      <c r="D34" s="33"/>
      <c r="E34" s="42"/>
      <c r="F34" s="27"/>
    </row>
    <row r="35" spans="1:6" ht="27.75" x14ac:dyDescent="0.2">
      <c r="A35" s="57" t="s">
        <v>52</v>
      </c>
      <c r="B35" s="28" t="str">
        <f>"Tomar " &amp; ROUND(IF((B2*10)&lt;=350, (B2*10)/10, 350/10), 0) &amp; " gotas por via oral de 4/4 horas. (Não exceder 5 administrações por dia)"</f>
        <v>Tomar 10 gotas por via oral de 4/4 horas. (Não exceder 5 administrações por dia)</v>
      </c>
      <c r="D35" s="33"/>
      <c r="E35" s="41"/>
      <c r="F35" s="27"/>
    </row>
    <row r="36" spans="1:6" x14ac:dyDescent="0.2">
      <c r="A36" s="57" t="s">
        <v>53</v>
      </c>
      <c r="B36" s="28" t="str">
        <f>"Tomar " &amp; ROUND(IF((B2*10)&lt;=200,(B2*10)/5,200/5),0) &amp; " gotas por via oral de 6/6 horas. Por 3 a 5 dias."</f>
        <v>Tomar 20 gotas por via oral de 6/6 horas. Por 3 a 5 dias.</v>
      </c>
      <c r="D36" s="33"/>
      <c r="E36" s="42"/>
      <c r="F36" s="27"/>
    </row>
    <row r="37" spans="1:6" x14ac:dyDescent="0.2">
      <c r="A37" s="57" t="s">
        <v>54</v>
      </c>
      <c r="B37" s="28" t="str">
        <f>"Tomar " &amp; ROUND(IF((B2*10)&lt;=200,(B2*10)/10,200/10),0) &amp; " gotas por via oral de 6/6 horas. Por 3 a 5 dias."</f>
        <v>Tomar 10 gotas por via oral de 6/6 horas. Por 3 a 5 dias.</v>
      </c>
      <c r="D37" s="33"/>
      <c r="E37" s="42"/>
      <c r="F37" s="27"/>
    </row>
    <row r="38" spans="1:6" ht="27.75" x14ac:dyDescent="0.2">
      <c r="A38" s="57" t="s">
        <v>55</v>
      </c>
      <c r="B38" s="28" t="str">
        <f>"Administrar " &amp; ROUND(IF((B2*1)&lt;=100, (B2*1)/50, 100/50), 1) &amp; " mL por via IM ou (EV diluido em 50 ml de SF 0,9%), a cada 12 horas."</f>
        <v>Administrar 0,2 mL por via IM ou (EV diluido em 50 ml de SF 0,9%), a cada 12 horas.</v>
      </c>
      <c r="D38" s="33"/>
      <c r="E38" s="42"/>
      <c r="F38" s="27"/>
    </row>
    <row r="39" spans="1:6" x14ac:dyDescent="0.2">
      <c r="A39" s="57" t="s">
        <v>56</v>
      </c>
      <c r="B39" s="28" t="str">
        <f>"Tomar " &amp; ROUND(IF(B2&lt;=40, IF((B2*1)&lt;=((B2*2)/2), (B2*1), (B2*2)/2), IF((90/3)&lt;=((B2*1)), (90/3), (B2*1))),1) &amp; " gotas por via oral " &amp; IF(B2&lt;=40," de 12/12 horas. Por 3 a 5 dias."," de 8/8 horas. Por 3 a 5 dias.")</f>
        <v>Tomar 10 gotas por via oral  de 12/12 horas. Por 3 a 5 dias.</v>
      </c>
      <c r="D39" s="33"/>
      <c r="E39" s="41"/>
      <c r="F39" s="27"/>
    </row>
    <row r="40" spans="1:6" x14ac:dyDescent="0.2">
      <c r="A40" s="57" t="s">
        <v>57</v>
      </c>
      <c r="B40" s="28" t="str">
        <f>"Tomar " &amp; ROUND(IF((B2*0.75)&lt;=30,(B2*0.75)/0.75,40),0) &amp; " gotas por via oral de 8/8 horas. Por 3 a 5 dias."</f>
        <v>Tomar 10 gotas por via oral de 8/8 horas. Por 3 a 5 dias.</v>
      </c>
      <c r="D40" s="33"/>
      <c r="E40" s="42"/>
      <c r="F40" s="27"/>
    </row>
    <row r="41" spans="1:6" x14ac:dyDescent="0.2">
      <c r="A41" s="57" t="s">
        <v>58</v>
      </c>
      <c r="B41" s="28" t="str">
        <f>"Tomar " &amp; ROUND(IF((B2*2)&lt;=100,(B2*2)/2.5,40),0) &amp; " gotas por via oral de 12/12 horas. Por 3 a 5 dias."</f>
        <v>Tomar 8 gotas por via oral de 12/12 horas. Por 3 a 5 dias.</v>
      </c>
      <c r="D41" s="33"/>
      <c r="E41" s="42"/>
      <c r="F41" s="27"/>
    </row>
    <row r="42" spans="1:6" x14ac:dyDescent="0.2">
      <c r="A42" s="170" t="s">
        <v>59</v>
      </c>
      <c r="B42" s="60"/>
      <c r="D42" s="33"/>
      <c r="E42" s="42"/>
      <c r="F42" s="27"/>
    </row>
    <row r="43" spans="1:6" x14ac:dyDescent="0.2">
      <c r="A43" s="57" t="s">
        <v>60</v>
      </c>
      <c r="B43" s="28" t="str">
        <f>"Tomar " &amp; IF(ROUND(IF((B2*0.2)&lt;=4,(B2*0.2)/4,1),1)&lt;0.5,0.5,ROUND(IF((B2*0.2)&lt;=4,(B2*0.2)/4,1),1)) &amp; " Filme por via oral de 8/8 horas."</f>
        <v>Tomar 0,5 Filme por via oral de 8/8 horas.</v>
      </c>
      <c r="D43" s="33"/>
      <c r="E43" s="42"/>
      <c r="F43" s="27"/>
    </row>
    <row r="44" spans="1:6" x14ac:dyDescent="0.2">
      <c r="A44" s="57" t="s">
        <v>61</v>
      </c>
      <c r="B44" s="28" t="str">
        <f>"Tomar " &amp; ROUND(IF((B2*0.1)&lt;=4,B2*0.1,4)/0.8,1) &amp; " mL por via oral de 8/8 horas."</f>
        <v>Tomar 1,3 mL por via oral de 8/8 horas.</v>
      </c>
      <c r="D44" s="33"/>
      <c r="E44" s="42"/>
      <c r="F44" s="27"/>
    </row>
    <row r="45" spans="1:6" x14ac:dyDescent="0.2">
      <c r="A45" s="57" t="s">
        <v>62</v>
      </c>
      <c r="B45" s="28" t="str">
        <f>"Tomar " &amp;ROUND(IF(B2&lt;=20, B2, 20), 0) &amp; " gotas por via oral de 8/8 horas."</f>
        <v>Tomar 10 gotas por via oral de 8/8 horas.</v>
      </c>
      <c r="D45" s="33"/>
      <c r="E45" s="42"/>
      <c r="F45" s="27"/>
    </row>
    <row r="46" spans="1:6" x14ac:dyDescent="0.2">
      <c r="A46" s="57" t="s">
        <v>63</v>
      </c>
      <c r="B46" s="28" t="str">
        <f>"Tomar " &amp; ROUND(IF((B2*0.15)&lt;=10/3, (B2*0.15)/0.2, (10/3)/0.2), 0) &amp; " gotas por via oral de 8/8 horas."</f>
        <v>Tomar 8 gotas por via oral de 8/8 horas.</v>
      </c>
      <c r="D46" s="33"/>
      <c r="E46" s="42"/>
      <c r="F46" s="27"/>
    </row>
    <row r="47" spans="1:6" x14ac:dyDescent="0.2">
      <c r="A47" s="57" t="s">
        <v>64</v>
      </c>
      <c r="B47" s="28" t="str">
        <f>"Tomar " &amp; ROUND(IF(B1&lt;=6,IF((B2*1)&lt;=15,B2*1,15),IF(B1&lt;=12,IF((B2*1)&lt;=30,B2*1,30),IF((B2*1)&lt;=80,B2*1,80))),0) &amp; " gotas por via oral de 6/6 horas."</f>
        <v>Tomar 10 gotas por via oral de 6/6 horas.</v>
      </c>
      <c r="C47" s="27"/>
      <c r="D47" s="33"/>
      <c r="E47" s="42"/>
      <c r="F47" s="27"/>
    </row>
    <row r="48" spans="1:6" ht="15.75" customHeight="1" x14ac:dyDescent="0.2">
      <c r="A48" s="57" t="s">
        <v>65</v>
      </c>
      <c r="B48" s="28" t="str">
        <f>"Tomar " &amp; ROUND(IF((B2*0.3)&lt;=10,B2*0.3,10),1) &amp; " mL por via oral 30 minutos antes das refeições de 8/8 horas."</f>
        <v>Tomar 3 mL por via oral 30 minutos antes das refeições de 8/8 horas.</v>
      </c>
      <c r="C48" s="27"/>
      <c r="D48" s="33"/>
      <c r="E48" s="42"/>
      <c r="F48" s="27"/>
    </row>
    <row r="49" spans="1:6" ht="27.75" x14ac:dyDescent="0.2">
      <c r="A49" s="110" t="s">
        <v>66</v>
      </c>
      <c r="B49" s="28" t="str">
        <f>"Reconstituir "&amp;ROUNDUP(IF(B2*1&gt;40,40,B2*1)/40,0)&amp;" frasco(s) com 10 mL de diluente. Administrar "&amp;ROUND(IF(B2*1&gt;40,40,B2*1)/4,1)&amp;" mL EV uma vez ao dia."</f>
        <v>Reconstituir 1 frasco(s) com 10 mL de diluente. Administrar 2,5 mL EV uma vez ao dia.</v>
      </c>
      <c r="C49" s="27"/>
      <c r="D49" s="33"/>
      <c r="E49" s="42"/>
      <c r="F49" s="27"/>
    </row>
    <row r="50" spans="1:6" x14ac:dyDescent="0.2">
      <c r="A50" s="57" t="s">
        <v>67</v>
      </c>
      <c r="B50" s="28" t="str">
        <f>"Tomar " &amp; ROUND(IF((B2*1)&lt;=40, B2*1, 40)/4, 1) &amp; " mL por via oral ou SNG em dose única pela manhã."</f>
        <v>Tomar 2,5 mL por via oral ou SNG em dose única pela manhã.</v>
      </c>
      <c r="C50" s="27"/>
      <c r="D50" s="33"/>
      <c r="E50" s="42"/>
      <c r="F50" s="27"/>
    </row>
    <row r="51" spans="1:6" x14ac:dyDescent="0.2">
      <c r="A51" s="57" t="s">
        <v>68</v>
      </c>
      <c r="B51" s="28" t="str">
        <f>IF(B1&gt;=12," Tomar 13 gotas por via oral de 8/8 horas. Por 3 a 5 dias.",IF(B1&lt;1," Tomar de 3 a 5 gotas por via oral de 8/8 horas. Por 3 a 5 dias.", " Tomar de 5 a 10 gotas por via oral de 8/8 horas. Por 3 a 5 dias."))</f>
        <v xml:space="preserve"> Tomar de 5 a 10 gotas por via oral de 8/8 horas. Por 3 a 5 dias.</v>
      </c>
      <c r="C51" s="27"/>
      <c r="D51" s="33"/>
      <c r="E51" s="42"/>
      <c r="F51" s="27"/>
    </row>
    <row r="52" spans="1:6" x14ac:dyDescent="0.2">
      <c r="A52" s="57" t="s">
        <v>69</v>
      </c>
      <c r="B52" s="28" t="str">
        <f>IF(B2&lt;=4,"Tomar 0,5 mL por via oral de 12/12 horas.",
IF(B2&lt;=7,"Tomar 1 mL por via oral de 12/12 horas.",
IF(B2&lt;=10,"Tomar 1,5 mL por via oral de 12/12 horas.",
IF(B2&lt;=13,"Tomar 2 mL por via oral de 12/12 horas.",
IF(B2&lt;=16,"Tomar 2,5 mL por via oral de 12/12 horas.",
IF(B2&lt;=19,"Tomar 3 mL por via oral de 12/12 horas.",
IF(B2&lt;=22,"Tomar 3,5 mL por via oral de 12/12 horas.",
IF(B2&lt;=25,"Tomar 4 mL por via oral de 12/12 horas.",
IF(B2&lt;=28,"Tomar 4,5 mL por via oral de 12/12 horas.",
IF(B2&lt;=31,"Tomar 5 mL por via oral de 12/12 horas.",
IF(B2&lt;=34,"Tomar 5,5 mL por via oral de 12/12 horas.",
IF(B2&lt;=37,"Tomar 6 mL por via oral de 12/12 horas.",
IF(B2&lt;=40,"Tomar 6,5 mL por via oral de 12/12 horas.",
"Tomar 7 mL por via oral de 12/12 horas.")))))))))))))</f>
        <v>Tomar 1,5 mL por via oral de 12/12 horas.</v>
      </c>
      <c r="C52" s="27"/>
      <c r="D52" s="33"/>
      <c r="E52" s="41"/>
      <c r="F52" s="27"/>
    </row>
    <row r="53" spans="1:6" x14ac:dyDescent="0.2">
      <c r="A53" s="57" t="s">
        <v>70</v>
      </c>
      <c r="B53" s="28" t="str">
        <f>"Tomar " &amp; ROUND(IF((B2*1)&lt;=90/3,(B2*1)/0.75,(90/3)/0.75),0) &amp; " gotas por via oral de 8/8 horas."</f>
        <v>Tomar 13 gotas por via oral de 8/8 horas.</v>
      </c>
      <c r="C53" s="27"/>
      <c r="D53" s="33"/>
      <c r="E53" s="42"/>
      <c r="F53" s="27"/>
    </row>
    <row r="54" spans="1:6" ht="27.75" x14ac:dyDescent="0.2">
      <c r="A54" s="57" t="s">
        <v>71</v>
      </c>
      <c r="B54" s="28" t="str">
        <f>"Misturar " &amp; ROUND(IF((B2*1)&lt;=50, B2*1, 50), 0) &amp; " g com " &amp; ROUND(IF((B2*1)&lt;=50, B2*1, 50)/25*50, 0) &amp; " mL de água para formar uma suspensão. Administrar por VO ou SNG."</f>
        <v>Misturar 10 g com 20 mL de água para formar uma suspensão. Administrar por VO ou SNG.</v>
      </c>
      <c r="D54" s="33"/>
      <c r="E54" s="42"/>
      <c r="F54" s="27"/>
    </row>
    <row r="55" spans="1:6" ht="27.75" x14ac:dyDescent="0.2">
      <c r="A55" s="57" t="s">
        <v>72</v>
      </c>
      <c r="B55" s="28" t="str">
        <f>"Administrar " &amp; ROUND(IF((B2*0.2)&lt;=4,B2*0.2,4)/2,1) &amp; " mL por via IM ou (EV diluido em 50 mL de SF 0,9% ou SG 5%) a cada 8 horas"</f>
        <v>Administrar 1 mL por via IM ou (EV diluido em 50 mL de SF 0,9% ou SG 5%) a cada 8 horas</v>
      </c>
      <c r="D55" s="33"/>
      <c r="E55" s="42"/>
      <c r="F55" s="27"/>
    </row>
    <row r="56" spans="1:6" ht="27.75" x14ac:dyDescent="0.2">
      <c r="A56" s="57" t="s">
        <v>73</v>
      </c>
      <c r="B56" s="28" t="str">
        <f>"Administrar " &amp; ROUNDUP(IF((B2*0.2)&lt;=20, IF(((B2*0.2)/1)/(5/1)&lt;=4, ((B2*0.2)/1)/(5/1), 4), IF((20/1)/(5/1)&lt;=4, (20/1)/(5/1), 20)), 1) &amp; " mL por via EV diluido em 50 mL de SF 0,9% ou SG 5% a cada 8 horas"</f>
        <v>Administrar 0,4 mL por via EV diluido em 50 mL de SF 0,9% ou SG 5% a cada 8 horas</v>
      </c>
      <c r="D56" s="33"/>
      <c r="E56" s="42"/>
      <c r="F56" s="27"/>
    </row>
    <row r="57" spans="1:6" x14ac:dyDescent="0.2">
      <c r="A57" s="57" t="s">
        <v>74</v>
      </c>
      <c r="B57" s="28" t="str">
        <f>"Administrar " &amp; ROUNDUP(IF((B2*0.15)&lt;=10,B2*0.15,10)/5,1) &amp; " mL + 50 ml de SF 0,9% ou SG 5% por via EV a cada 8 horas."</f>
        <v>Administrar 0,3 mL + 50 ml de SF 0,9% ou SG 5% por via EV a cada 8 horas.</v>
      </c>
      <c r="D57" s="33"/>
      <c r="E57" s="42"/>
      <c r="F57" s="27"/>
    </row>
    <row r="58" spans="1:6" ht="27.75" x14ac:dyDescent="0.2">
      <c r="A58" s="57" t="s">
        <v>75</v>
      </c>
      <c r="B58" s="28" t="str">
        <f>"Administrar " &amp;ROUND(IF((B2*1.25)&lt;=270/3, IF(((B2*1.25)/30)*10&lt;=90, ((B2*1.25)/30)*10, 90), (270/3)/30*10), 1) &amp; " mL por via EV diluido em 50 mL de SF 0,9% ou SG 5% a cada 8 horas."</f>
        <v>Administrar 4,2 mL por via EV diluido em 50 mL de SF 0,9% ou SG 5% a cada 8 horas.</v>
      </c>
      <c r="D58" s="33"/>
      <c r="E58" s="41"/>
      <c r="F58" s="27"/>
    </row>
    <row r="59" spans="1:6" x14ac:dyDescent="0.2">
      <c r="A59" s="57" t="s">
        <v>76</v>
      </c>
      <c r="B59" s="28" t="str">
        <f>"Administrar " &amp;ROUNDUP(IF((B2*0.025)&lt;=1, B2*0.025, 1), 1) &amp; " mL por via IM a cada 8 horas."</f>
        <v>Administrar 0,3 mL por via IM a cada 8 horas.</v>
      </c>
      <c r="D59" s="33"/>
      <c r="E59" s="42"/>
      <c r="F59" s="27"/>
    </row>
    <row r="60" spans="1:6" x14ac:dyDescent="0.2">
      <c r="A60" s="57" t="s">
        <v>77</v>
      </c>
      <c r="B60" s="28" t="str">
        <f>"Administrar " &amp;ROUND(IF(B2 / 20 &gt; 2, 2, B2 / 20), 1) &amp; " mL por via EV a cada 12 horas"</f>
        <v>Administrar 0,5 mL por via EV a cada 12 horas</v>
      </c>
      <c r="D60" s="33"/>
      <c r="E60" s="42"/>
      <c r="F60" s="27"/>
    </row>
    <row r="61" spans="1:6" x14ac:dyDescent="0.2">
      <c r="A61" s="170" t="s">
        <v>78</v>
      </c>
      <c r="B61" s="60"/>
      <c r="D61" s="33"/>
      <c r="E61" s="42"/>
      <c r="F61" s="27"/>
    </row>
    <row r="62" spans="1:6" x14ac:dyDescent="0.2">
      <c r="A62" s="57" t="s">
        <v>79</v>
      </c>
      <c r="B62" s="28" t="str">
        <f>"Tomar " &amp;ROUND(IF(B2&lt;=40, IF((B2*0.7)&lt;=((B2*2)/3), IF((B2*0.7)/2&lt;=12.5, (B2*0.7)/2, 12.5), IF((B2*2)/6&lt;=12.5, (B2*2)/6, 12.5)), IF((B2*0.7)&lt;=100/3, IF((B2*0.7)/2&lt;=12.5, (B2*0.7)/2, 12.5), IF(100/6&lt;=12.5, 100/6, 12.5))), 1) &amp; " mL por via oral de 8/8 horas."</f>
        <v>Tomar 3,3 mL por via oral de 8/8 horas.</v>
      </c>
      <c r="D62" s="33"/>
      <c r="E62" s="42"/>
      <c r="F62" s="27"/>
    </row>
    <row r="63" spans="1:6" x14ac:dyDescent="0.2">
      <c r="A63" s="57" t="s">
        <v>80</v>
      </c>
      <c r="B63" s="28" t="str">
        <f>"Tomar " &amp;ROUND(IF(B1&lt;=0.92, 2, IF(B1&lt;=5, 2.5, IF(B1&lt;=11, 5, 10))), 1) &amp; " mL por via oral uma vez ao dia."</f>
        <v>Tomar 2,5 mL por via oral uma vez ao dia.</v>
      </c>
      <c r="D63" s="33"/>
      <c r="E63" s="34"/>
      <c r="F63" s="27"/>
    </row>
    <row r="64" spans="1:6" x14ac:dyDescent="0.2">
      <c r="A64" s="57" t="s">
        <v>81</v>
      </c>
      <c r="B64" s="28" t="str">
        <f>"Tomar " &amp;ROUND(IF(B1&lt;=2, 2.5, IF(B1&lt;=11, 5, 5)), 1) &amp; " mL por via oral de 12/12 horas."</f>
        <v>Tomar 2,5 mL por via oral de 12/12 horas.</v>
      </c>
      <c r="D64" s="33"/>
      <c r="E64" s="34"/>
      <c r="F64" s="27"/>
    </row>
    <row r="65" spans="1:6" x14ac:dyDescent="0.2">
      <c r="A65" s="57" t="s">
        <v>82</v>
      </c>
      <c r="B65" s="28" t="str">
        <f>"Tomar " &amp; ROUND(IF(B2*0.1&lt;=3,(B2*0.1)/(2/5),3/(2/5)),1) &amp; " mL por via oral de 8/8 horas."</f>
        <v>Tomar 2,5 mL por via oral de 8/8 horas.</v>
      </c>
      <c r="D65" s="33"/>
      <c r="E65" s="34"/>
      <c r="F65" s="27"/>
    </row>
    <row r="66" spans="1:6" x14ac:dyDescent="0.2">
      <c r="A66" s="57" t="s">
        <v>83</v>
      </c>
      <c r="B66" s="28" t="str">
        <f>"Tomar " &amp; ROUND(IF(B2*0.2&lt;=5,B2*0.2,5)/1,1) &amp; " mL por via oral, uma vez ao dia."</f>
        <v>Tomar 2 mL por via oral, uma vez ao dia.</v>
      </c>
      <c r="D66" s="33"/>
      <c r="E66" s="32"/>
      <c r="F66" s="27"/>
    </row>
    <row r="67" spans="1:6" ht="15.75" customHeight="1" x14ac:dyDescent="0.2">
      <c r="A67" s="57" t="s">
        <v>84</v>
      </c>
      <c r="B67" s="28" t="str">
        <f>"Tomar " &amp; ROUND(IF(B2*0.1&lt;=3,(B2*0.1)/(2/5),3/(2/5)),1) &amp; " mL por via oral de 8/8 horas."</f>
        <v>Tomar 2,5 mL por via oral de 8/8 horas.</v>
      </c>
      <c r="D67" s="33"/>
      <c r="E67" s="34"/>
      <c r="F67" s="27"/>
    </row>
    <row r="68" spans="1:6" x14ac:dyDescent="0.2">
      <c r="A68" s="57" t="s">
        <v>85</v>
      </c>
      <c r="B68" s="28" t="str">
        <f>"Administrar " &amp;ROUND(IF(((B2*0.3)/25)&lt;=2, (B2*0.3)/25, 2), 1) &amp; " mL por via IM a cada 6 horas."</f>
        <v>Administrar 0,1 mL por via IM a cada 6 horas.</v>
      </c>
      <c r="D68" s="33"/>
      <c r="E68" s="34"/>
      <c r="F68" s="27"/>
    </row>
    <row r="69" spans="1:6" x14ac:dyDescent="0.2">
      <c r="A69" s="57" t="s">
        <v>86</v>
      </c>
      <c r="B69" s="28" t="str">
        <f>"Administrar " &amp;ROUND(IF(B2*0.03 &lt;= 300/3/50, B2*0.03, 300/3/50), 1) &amp; " mL por via IM a cada 8 horas."</f>
        <v>Administrar 0,3 mL por via IM a cada 8 horas.</v>
      </c>
      <c r="D69" s="33"/>
      <c r="E69" s="34"/>
      <c r="F69" s="27"/>
    </row>
    <row r="70" spans="1:6" x14ac:dyDescent="0.2">
      <c r="A70" s="170" t="s">
        <v>87</v>
      </c>
      <c r="B70" s="60"/>
      <c r="D70" s="33"/>
      <c r="E70" s="34"/>
      <c r="F70" s="27"/>
    </row>
    <row r="71" spans="1:6" x14ac:dyDescent="0.2">
      <c r="A71" s="57" t="s">
        <v>88</v>
      </c>
      <c r="B71" s="28" t="str">
        <f>"Tomar " &amp; ROUND(IF((B2*1)&lt;=40, IF(((B2*1)/1)/(3/1)&lt;=14, ((B2*1)/1)/(3/1), 14), IF((40/1)/(3/1)&lt;=14, (40/1)/(3/1), 14)), 1) &amp; " mL por via oral de 24/24 horas. Por 5 dias."</f>
        <v>Tomar 3,3 mL por via oral de 24/24 horas. Por 5 dias.</v>
      </c>
      <c r="D71" s="33"/>
      <c r="E71" s="34"/>
      <c r="F71" s="27"/>
    </row>
    <row r="72" spans="1:6" x14ac:dyDescent="0.2">
      <c r="A72" s="111" t="s">
        <v>89</v>
      </c>
      <c r="B72" s="43" t="str">
        <f>"Tomar " &amp; ROUND(IF((B2*0.025)&lt;=12, IF(((B2*0.025)/1)/(0.5/5)&lt;=15, ((B2*0.025)/1)/(0.5/5), 15), IF((12/3)/(0.5/5)&lt;=15, (12/3)/(0.5/5), 15)), 1) &amp; " mL por via oral de 24/24 horas. Por 5 dias."</f>
        <v>Tomar 2,5 mL por via oral de 24/24 horas. Por 5 dias.</v>
      </c>
      <c r="D72" s="33"/>
      <c r="E72" s="32"/>
      <c r="F72" s="27"/>
    </row>
    <row r="73" spans="1:6" x14ac:dyDescent="0.2">
      <c r="A73" s="170" t="s">
        <v>90</v>
      </c>
      <c r="B73" s="60"/>
      <c r="C73" s="27"/>
      <c r="D73" s="33"/>
      <c r="E73" s="34"/>
      <c r="F73" s="27"/>
    </row>
    <row r="74" spans="1:6" ht="27.75" x14ac:dyDescent="0.2">
      <c r="A74" s="57" t="s">
        <v>91</v>
      </c>
      <c r="B74" s="28" t="str">
        <f>"Reconstituir "&amp;ROUNDUP(IF((B2*4)/100&lt;1,1,(B2*4)/100),0)&amp;" frasco(s) com "&amp;ROUND(IF((B2*4)/100&lt;1,1,(B2*4)/100),0)*2&amp;" mL de AD. Administrar "&amp;ROUND(IF((B2*4)&lt;=8*B2,(B2*4)/50,(8*B2)/50),1)&amp;" mL por via IM ou EV diluído em 50 mL de SF 0,9% ou SG 5% a cada 6 horas."</f>
        <v>Reconstituir 1 frasco(s) com 2 mL de AD. Administrar 0,8 mL por via IM ou EV diluído em 50 mL de SF 0,9% ou SG 5% a cada 6 horas.</v>
      </c>
      <c r="D74" s="33"/>
      <c r="E74" s="34"/>
      <c r="F74" s="27"/>
    </row>
    <row r="75" spans="1:6" ht="27.75" x14ac:dyDescent="0.2">
      <c r="A75" s="57" t="s">
        <v>92</v>
      </c>
      <c r="B75" s="28" t="str">
        <f>"Reconstituir "&amp;ROUND(IF((B2*4)/500&lt;1,1,(B2*4)/500),0)&amp;" frasco(s) com "&amp;ROUND(IF((B2*4)/500&lt;1,1,(B2*4)/500),0)*5&amp;" mL de AD. Administrar "&amp;ROUNDUP(IF((B2*4)&lt;=8*B2,(B2*4)/100,(8*B2)/100),1)&amp;" mL por via IM ou (EV diluído em 50 mL de SF 0,9% ou SG 5%), a cada 6 horas."</f>
        <v>Reconstituir 1 frasco(s) com 5 mL de AD. Administrar 0,4 mL por via IM ou (EV diluído em 50 mL de SF 0,9% ou SG 5%), a cada 6 horas.</v>
      </c>
      <c r="D75" s="33"/>
      <c r="E75" s="34"/>
      <c r="F75" s="27"/>
    </row>
    <row r="76" spans="1:6" ht="41.25" x14ac:dyDescent="0.2">
      <c r="A76" s="57" t="s">
        <v>93</v>
      </c>
      <c r="B76" s="28" t="str">
        <f>"Reconstituir "&amp;ROUND(IF((B2*1)/125&lt;1,1,(B2*1)/125),0)&amp;" frasco(s) com "&amp;ROUND(IF((B2*1)/125&lt;1,1,(B2*1)/125),0)*2&amp;" mL de AD. Administrar "&amp;ROUNDUP(IF((B2*1)&lt;=125,(B2*1)/62.5,125/62.5),1)&amp;" mL por via IM ou (EV diluído em 50 mL de SF 0,9% ou SG 5%), a cada 6 horas. (Correr em 30 minutos)."</f>
        <v>Reconstituir 1 frasco(s) com 2 mL de AD. Administrar 0,2 mL por via IM ou (EV diluído em 50 mL de SF 0,9% ou SG 5%), a cada 6 horas. (Correr em 30 minutos).</v>
      </c>
      <c r="C76" s="126"/>
      <c r="D76" s="33"/>
      <c r="E76" s="34"/>
      <c r="F76" s="27"/>
    </row>
    <row r="77" spans="1:6" ht="41.25" x14ac:dyDescent="0.2">
      <c r="A77" s="86" t="s">
        <v>94</v>
      </c>
      <c r="B77" s="55" t="str">
        <f>"Dose de ataque:  " &amp; ROUND(IF(B2 * 1.5 / 40 &lt;= 1, B2 * 1.5 / 40, 1), 2) &amp; " ML + " &amp; ROUND(10 - IF(B2 * 1.5 / 40 &lt;= 1, B2 * 1.5 / 40, 1), 2) &amp; " mL de SF 0,9%, Administrar por via EV em infusão lenta | Dose de manutençao: " &amp; ROUND(IF(B2 * 0.75 / 40 &lt;= 1, B2 * 0.75 / 40, 1), 2) &amp; " ML + " &amp; ROUND(10 - IF(B2 * 0.75 / 40 &lt;= 1, B2 * 0.75 / 40, 1), 2) &amp; " mL de SF 0,9%, Administrar por via EV em infusão lenta. A cada 6/6 horas."</f>
        <v>Dose de ataque:  0,38 ML + 9,63 mL de SF 0,9%, Administrar por via EV em infusão lenta | Dose de manutençao: 0,19 ML + 9,81 mL de SF 0,9%, Administrar por via EV em infusão lenta. A cada 6/6 horas.</v>
      </c>
      <c r="C77" s="126"/>
      <c r="D77" s="33"/>
      <c r="E77" s="34"/>
      <c r="F77" s="27"/>
    </row>
    <row r="78" spans="1:6" ht="41.25" x14ac:dyDescent="0.2">
      <c r="A78" s="57" t="s">
        <v>95</v>
      </c>
      <c r="B78" s="55" t="str">
        <f>"Administrar " &amp; ROUNDUP(IF(B2*25&lt;=2000,B2*25,2000)/500,1) &amp; " mL diluído em " &amp; IF(B2*25&lt;=2000,"60","100") &amp; " mL de SF 0,9%. Administrar por via EV em infusão lenta por 30 minutos. (Necessita de internação para realização deste medicamento)."</f>
        <v>Administrar 0,5 mL diluído em 60 mL de SF 0,9%. Administrar por via EV em infusão lenta por 30 minutos. (Necessita de internação para realização deste medicamento).</v>
      </c>
      <c r="C78" s="48"/>
      <c r="D78" s="33"/>
      <c r="E78" s="34"/>
      <c r="F78" s="27"/>
    </row>
    <row r="79" spans="1:6" ht="41.25" x14ac:dyDescent="0.2">
      <c r="A79" s="110" t="s">
        <v>96</v>
      </c>
      <c r="B79" s="55" t="str">
        <f>"Administrar " &amp; ROUNDUP(IF(B2*25&lt;=2000,B2*25,2000)/100,1) &amp; " mL  diluído em " &amp; IF(B2*25&lt;=2000,"60","100") &amp; " mL de SF 0,9%. Administrar por via EV em infusão lenta por 30 minutos. (Necessita de internação para realização deste medicamento)."</f>
        <v>Administrar 2,5 mL  diluído em 60 mL de SF 0,9%. Administrar por via EV em infusão lenta por 30 minutos. (Necessita de internação para realização deste medicamento).</v>
      </c>
      <c r="C79" s="35"/>
      <c r="D79" s="33"/>
      <c r="E79" s="34"/>
      <c r="F79" s="27"/>
    </row>
    <row r="80" spans="1:6" ht="41.25" x14ac:dyDescent="0.2">
      <c r="A80" s="57" t="s">
        <v>97</v>
      </c>
      <c r="B80" s="28" t="str">
        <f>"Dose de ataque: " &amp; ROUND(IF((B2*0.6)&lt;=12,B2*0.6,12)/4,1) &amp; " mL  por via IM, uma vez por dia ou (EV Diluir em 50 mL de SF 0,9%. Administrar em 30 minutos)  |  Dose de manutenção: " &amp; ROUND(IF((B2*0.15)&lt;=10,B2*0.15,10)/4,1) &amp; " mL por via IM ou (EV Diluir em 50 mL de SF 0,9%)."</f>
        <v>Dose de ataque: 1,5 mL  por via IM, uma vez por dia ou (EV Diluir em 50 mL de SF 0,9%. Administrar em 30 minutos)  |  Dose de manutenção: 0,4 mL por via IM ou (EV Diluir em 50 mL de SF 0,9%).</v>
      </c>
      <c r="C80" s="40"/>
      <c r="D80" s="33"/>
      <c r="E80" s="32"/>
      <c r="F80" s="27"/>
    </row>
    <row r="81" spans="1:6" ht="27.75" x14ac:dyDescent="0.2">
      <c r="A81" s="57" t="s">
        <v>98</v>
      </c>
      <c r="B81" s="28" t="str">
        <f>"Administrar " &amp; ROUND(IF((B2*0.6)&lt;=12,B2*0.6,12)/2,1) &amp; " mL uma vez ao dia por via IM puro ou (EV diluir em 50 mL de SF 0,9%, administrar em 30 minutos)"</f>
        <v>Administrar 3 mL uma vez ao dia por via IM puro ou (EV diluir em 50 mL de SF 0,9%, administrar em 30 minutos)</v>
      </c>
      <c r="C81" s="39"/>
      <c r="D81" s="33"/>
      <c r="E81" s="34"/>
      <c r="F81" s="27"/>
    </row>
    <row r="82" spans="1:6" x14ac:dyDescent="0.2">
      <c r="A82" s="170" t="s">
        <v>99</v>
      </c>
      <c r="B82" s="60"/>
      <c r="C82" s="127"/>
      <c r="D82" s="31"/>
      <c r="E82" s="32"/>
      <c r="F82" s="27"/>
    </row>
    <row r="83" spans="1:6" ht="41.25" x14ac:dyDescent="0.2">
      <c r="A83" s="57" t="s">
        <v>100</v>
      </c>
      <c r="B83" s="28" t="str">
        <f>"Administrar " &amp; ROUND(IF(B2*0.01&lt;=0.3,B2*0.01,0.3),2)/1 &amp; " mL (Puro), por via IM em vasto lateral da coxa. Pode repetir até 3 vezes no total, com intervalo de 15 minutos entre as administrações."</f>
        <v>Administrar 0,1 mL (Puro), por via IM em vasto lateral da coxa. Pode repetir até 3 vezes no total, com intervalo de 15 minutos entre as administrações.</v>
      </c>
      <c r="C83" s="27"/>
      <c r="D83" s="33"/>
      <c r="E83" s="34"/>
      <c r="F83" s="27"/>
    </row>
    <row r="84" spans="1:6" x14ac:dyDescent="0.2">
      <c r="A84" s="170" t="s">
        <v>101</v>
      </c>
      <c r="B84" s="60"/>
      <c r="C84" s="27"/>
      <c r="D84" s="33"/>
      <c r="E84" s="34"/>
      <c r="F84" s="27"/>
    </row>
    <row r="85" spans="1:6" ht="41.25" x14ac:dyDescent="0.2">
      <c r="A85" s="57" t="s">
        <v>102</v>
      </c>
      <c r="B85" s="55" t="str">
        <f>"Administrar "&amp;ROUND(IF(B2 * 1 / 4 / 10 &lt;= 2, B2 * 1 / 4 / 10, 2), 2) &amp; " mL por via EV a cada 6 horas | Administrar " &amp; ROUND(IF(B2 * 1 / 3 / 10 &lt;= 2, B2 * 1 / 3 / 10, 2), 2) &amp; " mL por via EV a cada 8 horas | Administrar " &amp; ROUND(IF(B2 * 1 / 2 / 10 &lt;= 2, B2 * 1 / 2 / 10, 2), 2) &amp; " mL por via EV a cada 12 horas | Pode aumentar ate 5 vezes cada resultado, se necessário."</f>
        <v>Administrar 0,25 mL por via EV a cada 6 horas | Administrar 0,33 mL por via EV a cada 8 horas | Administrar 0,5 mL por via EV a cada 12 horas | Pode aumentar ate 5 vezes cada resultado, se necessário.</v>
      </c>
      <c r="C85" s="27"/>
      <c r="D85" s="33"/>
      <c r="E85" s="34"/>
      <c r="F85" s="27"/>
    </row>
    <row r="86" spans="1:6" x14ac:dyDescent="0.2">
      <c r="A86" s="112" t="s">
        <v>103</v>
      </c>
      <c r="B86" s="60"/>
      <c r="D86" s="33"/>
      <c r="E86" s="34"/>
      <c r="F86" s="27"/>
    </row>
    <row r="87" spans="1:6" ht="27.75" x14ac:dyDescent="0.2">
      <c r="A87" s="113" t="s">
        <v>104</v>
      </c>
      <c r="B87" s="28" t="str">
        <f>"Diluir 1 Ampola(s) em 9 mL de SF 0,9%. Administrar " &amp; ROUND(IF((B2/10)&lt;=10, B2/10, 10), 2) &amp; " mL da mistura por via EV em bolus de 3 a 5 minutos."</f>
        <v>Diluir 1 Ampola(s) em 9 mL de SF 0,9%. Administrar 1 mL da mistura por via EV em bolus de 3 a 5 minutos.</v>
      </c>
      <c r="C87" s="27"/>
      <c r="D87" s="33"/>
      <c r="E87" s="34"/>
      <c r="F87" s="27"/>
    </row>
    <row r="88" spans="1:6" ht="27.75" x14ac:dyDescent="0.2">
      <c r="A88" s="113" t="s">
        <v>105</v>
      </c>
      <c r="B88" s="55" t="str">
        <f>"Administrar " &amp; ROUND(IF(B2*5&lt;=IF(B2*10&lt;=300,B2*10,300),B2*5,IF(B2*10&lt;=300,B2*10,300))/50,2) &amp; " mL por via EV em bolus sem diluição. (Pode ser repetida até no máximo 3 vezes)."</f>
        <v>Administrar 1 mL por via EV em bolus sem diluição. (Pode ser repetida até no máximo 3 vezes).</v>
      </c>
      <c r="C88" s="27"/>
      <c r="D88" s="33"/>
      <c r="E88" s="34"/>
      <c r="F88" s="27"/>
    </row>
    <row r="89" spans="1:6" x14ac:dyDescent="0.2">
      <c r="A89" s="113" t="s">
        <v>106</v>
      </c>
      <c r="B89" s="55" t="str">
        <f>"Administrar " &amp; ROUND(IF(B2*60&lt;=3000,B2*60,3000)/100,2) &amp; " mL por via EV em bolus lento, puro."</f>
        <v>Administrar 6 mL por via EV em bolus lento, puro.</v>
      </c>
      <c r="C89" s="27"/>
      <c r="D89" s="33"/>
      <c r="E89" s="34"/>
      <c r="F89" s="27"/>
    </row>
    <row r="90" spans="1:6" x14ac:dyDescent="0.2">
      <c r="A90" s="113" t="s">
        <v>107</v>
      </c>
      <c r="B90" s="55" t="str">
        <f>"Administrar " &amp; ROUND(IF(B2*1&lt;=IF(B2*3&lt;=75,B2*3,75),B2*1,IF(B2*3&lt;=75,B2*3,75))/20,2) &amp; " mL por via EV em bolus lento."</f>
        <v>Administrar 0,5 mL por via EV em bolus lento.</v>
      </c>
      <c r="C90" s="27"/>
      <c r="D90" s="33"/>
      <c r="E90" s="34"/>
      <c r="F90" s="27"/>
    </row>
    <row r="91" spans="1:6" ht="27.75" x14ac:dyDescent="0.2">
      <c r="A91" s="113" t="s">
        <v>108</v>
      </c>
      <c r="B91" s="55" t="str">
        <f>"Diluir " &amp; ROUNDUP(B2,1) &amp; " mL de Bicarbonato de Sódio 8,4% + " &amp; ROUNDUP(B2,1) &amp; " mL de SF 0,9%. Administrar " &amp; ROUNDUP(B2*2,1) &amp; " mL por via EV em bolus lento."</f>
        <v>Diluir 10 mL de Bicarbonato de Sódio 8,4% + 10 mL de SF 0,9%. Administrar 20 mL por via EV em bolus lento.</v>
      </c>
      <c r="C91" s="27"/>
      <c r="D91" s="33"/>
      <c r="E91" s="34"/>
      <c r="F91" s="27"/>
    </row>
    <row r="92" spans="1:6" x14ac:dyDescent="0.2">
      <c r="A92" s="113" t="s">
        <v>109</v>
      </c>
      <c r="B92" s="55" t="str">
        <f>"Administrar " &amp; ROUNDUP(B2*0.5/0.1,1) &amp; " mL de Glicose 10% por via EV em bolus."</f>
        <v>Administrar 50 mL de Glicose 10% por via EV em bolus.</v>
      </c>
      <c r="C92" s="27"/>
      <c r="D92" s="33"/>
      <c r="E92" s="34"/>
      <c r="F92" s="27"/>
    </row>
    <row r="93" spans="1:6" ht="27.75" x14ac:dyDescent="0.2">
      <c r="A93" s="113" t="s">
        <v>110</v>
      </c>
      <c r="B93" s="55" t="str">
        <f>"Diluir " &amp; ROUNDUP(B2*0.5/0.125/2,1) &amp; " mL de Glicose 25% + " &amp; ROUNDUP(B2*0.5/0.125/2,1) &amp; " mL de água destilada. Administrar " &amp; ROUNDUP(B2*0.5/0.125,1) &amp; " mL por via EV em bolus."</f>
        <v>Diluir 20 mL de Glicose 25% + 20 mL de água destilada. Administrar 40 mL por via EV em bolus.</v>
      </c>
      <c r="C93" s="27"/>
      <c r="D93" s="33"/>
      <c r="E93" s="34"/>
      <c r="F93" s="27"/>
    </row>
    <row r="94" spans="1:6" ht="27.75" x14ac:dyDescent="0.2">
      <c r="A94" s="113" t="s">
        <v>111</v>
      </c>
      <c r="B94" s="55" t="str">
        <f>"Diluir " &amp; ROUNDUP(B2*0.5/0.125/4,1) &amp; " mL de Glicose 50% + " &amp; ROUNDUP(B2*0.5/0.125/4*3,1) &amp; " mL de água destilada. Administrar " &amp; ROUNDUP(B2*0.5/0.125,1) &amp; " mL por via EV em bolus."</f>
        <v>Diluir 10 mL de Glicose 50% + 30 mL de água destilada. Administrar 40 mL por via EV em bolus.</v>
      </c>
      <c r="C94" s="27"/>
      <c r="D94" s="33"/>
      <c r="E94" s="34"/>
      <c r="F94" s="27"/>
    </row>
    <row r="95" spans="1:6" x14ac:dyDescent="0.2">
      <c r="A95" s="114" t="s">
        <v>112</v>
      </c>
      <c r="B95" s="60"/>
      <c r="C95" s="27"/>
      <c r="D95" s="33"/>
      <c r="E95" s="34"/>
      <c r="F95" s="27"/>
    </row>
    <row r="96" spans="1:6" ht="54.75" x14ac:dyDescent="0.2">
      <c r="A96" s="110" t="s">
        <v>113</v>
      </c>
      <c r="B96" s="55" t="str">
        <f>"Primeira dose: Administrar " &amp; ROUNDUP(IF(B2*0.1&lt;=6,B2*0.1,6)/3,2) &amp; " mL por via EV, em bolus. Após, fazer 20 mL de SF 0,9% em bolus utilizando o (Three Way) | Segunda dose: Administrar " &amp; ROUNDUP(IF(B2*0.2&lt;=12,B2*0.2,12)/3,2) &amp; " mL por via EV, em bolus. Após, fazer 20 mL de SF 0,9% em bolus utilizando o (Three Way)."</f>
        <v>Primeira dose: Administrar 0,34 mL por via EV, em bolus. Após, fazer 20 mL de SF 0,9% em bolus utilizando o (Three Way) | Segunda dose: Administrar 0,67 mL por via EV, em bolus. Após, fazer 20 mL de SF 0,9% em bolus utilizando o (Three Way).</v>
      </c>
      <c r="C96" s="27"/>
      <c r="D96" s="33"/>
      <c r="E96" s="34"/>
      <c r="F96" s="27"/>
    </row>
    <row r="97" spans="1:6" x14ac:dyDescent="0.2">
      <c r="A97" s="114" t="s">
        <v>114</v>
      </c>
      <c r="B97" s="60"/>
      <c r="C97" s="27"/>
      <c r="D97" s="33"/>
      <c r="E97" s="34"/>
      <c r="F97" s="27"/>
    </row>
    <row r="98" spans="1:6" ht="41.25" x14ac:dyDescent="0.2">
      <c r="A98" s="110" t="s">
        <v>115</v>
      </c>
      <c r="B98" s="55" t="str">
        <f>"Reconstituir "&amp;ROUNDUP(MIN(B2*15,750)/250,0)&amp;" frasco(s) com "&amp;ROUNDUP(MIN(B2*15,750)/250,0)*10&amp;" mL de AD. Diluir "&amp;ROUNDUP(MIN(B2*15,750)/25,1)&amp;" mL da solução reconstituida com "&amp;ROUNDUP((MIN(B2*15,750)/7)-ROUNDUP(MIN(B2*15,750)/25,2),1)&amp;" mL de SF 0,9%. Infundir por via EV a "&amp;ROUNDUP((MIN(B2*15,750)/7)/1,1)&amp;" mL/hora. Administrar de 8/8 horas. Por 7 a 21 dias.(15mg/kg/dose)"</f>
        <v>Reconstituir 1 frasco(s) com 10 mL de AD. Diluir 6 mL da solução reconstituida com 15,5 mL de SF 0,9%. Infundir por via EV a 21,5 mL/hora. Administrar de 8/8 horas. Por 7 a 21 dias.(15mg/kg/dose)</v>
      </c>
      <c r="C98" s="27"/>
      <c r="D98" s="33"/>
      <c r="E98" s="34"/>
      <c r="F98" s="27"/>
    </row>
    <row r="99" spans="1:6" ht="41.25" x14ac:dyDescent="0.2">
      <c r="A99" s="116" t="s">
        <v>115</v>
      </c>
      <c r="B99" s="106" t="str">
        <f>"Reconstituir "&amp;ROUNDUP(MIN(B2*10,750)/250,0)&amp;" frasco(s) com "&amp;ROUNDUP(MIN(B2*10,750)/250,0)*10&amp;" mL de AD. Diluir "&amp;ROUNDUP(MIN(B2*10,750)/25,1)&amp;" mL da solução reconstituida com "&amp;ROUNDUP((MIN(B2*10,750)/7)-ROUNDUP(MIN(B2*10,750)/25,2),1)&amp;" mL de SF 0,9%. Infundir por via EV a "&amp;ROUNDUP((MIN(B2*10,750)/7)/1,1)&amp;" mL/hora. Administrar de 8/8 horas. Por 7 a 21 dias.(10mg/kg/dose)"</f>
        <v>Reconstituir 1 frasco(s) com 10 mL de AD. Diluir 4 mL da solução reconstituida com 10,3 mL de SF 0,9%. Infundir por via EV a 14,3 mL/hora. Administrar de 8/8 horas. Por 7 a 21 dias.(10mg/kg/dose)</v>
      </c>
      <c r="C99" s="27"/>
      <c r="D99" s="33"/>
      <c r="E99" s="34"/>
      <c r="F99" s="27"/>
    </row>
    <row r="100" spans="1:6" x14ac:dyDescent="0.2">
      <c r="A100" s="115" t="s">
        <v>116</v>
      </c>
      <c r="B100" s="60"/>
      <c r="C100" s="33"/>
      <c r="D100" s="33"/>
      <c r="E100" s="34"/>
      <c r="F100" s="27"/>
    </row>
    <row r="101" spans="1:6" ht="41.25" x14ac:dyDescent="0.2">
      <c r="A101" s="57" t="s">
        <v>117</v>
      </c>
      <c r="B101" s="28" t="str">
        <f>"Reconstituir "&amp;IF((B2*100)&gt;2000,ROUNDUP(MIN(B2*100/2,2000)/1000,0),ROUNDUP(MIN(B2*100,4000)/1000,0))&amp;" frasco(s) com "&amp;IF((B2*100)&gt;2000,ROUNDUP(MIN(B2*100/2,2000)/1000,0),ROUNDUP(MIN(B2*100,4000)/1000,0))*5&amp;" mL de AD. Administrar "&amp;IF((B2*100)&gt;2000,ROUND(MIN(B2*100/2,2000)/200,1),ROUND(MIN(B2*100,4000)/200,1))&amp;" mL por via EV diluído em 100 mL de SF 0,9% "&amp;IF((B2*100)&gt;2000,"a cada 12/12 horas","a cada 24/24 horas")&amp;". Infundir em 60 minutos.(100mg/kg/dia)."</f>
        <v>Reconstituir 1 frasco(s) com 5 mL de AD. Administrar 5 mL por via EV diluído em 100 mL de SF 0,9% a cada 24/24 horas. Infundir em 60 minutos.(100mg/kg/dia).</v>
      </c>
      <c r="C101" s="27"/>
      <c r="D101" s="33"/>
      <c r="E101" s="32"/>
      <c r="F101" s="27"/>
    </row>
    <row r="102" spans="1:6" ht="41.25" x14ac:dyDescent="0.2">
      <c r="A102" s="116" t="s">
        <v>117</v>
      </c>
      <c r="B102" s="106" t="str">
        <f>"Reconstituir "&amp;IF((B2*50)&gt;2000,ROUNDUP(MIN(B2*50/2,2000)/1000,0),ROUNDUP(MIN(B2*50,4000)/1000,0))&amp;" frasco(s) com "&amp;IF((B2*50)&gt;2000,ROUNDUP(MIN(B2*50/2,2000)/1000,0),ROUNDUP(MIN(B2*50,4000)/1000,0))*5&amp;" mL de AD. Administrar "&amp;IF((B2*50)&gt;2000,ROUND(MIN(B2*50/2,2000)/200,1),ROUND(MIN(B2*50,4000)/200,1))&amp;" mL por via EV diluído em 100 mL de SF 0,9% "&amp;IF((B2*50)&gt;2000,"a cada 12/12 horas","a cada 24/24 horas")&amp;". Infundir em 60 minutos.(50mg/kg/dia)."</f>
        <v>Reconstituir 1 frasco(s) com 5 mL de AD. Administrar 2,5 mL por via EV diluído em 100 mL de SF 0,9% a cada 24/24 horas. Infundir em 60 minutos.(50mg/kg/dia).</v>
      </c>
      <c r="C102" s="27"/>
      <c r="D102" s="33"/>
      <c r="E102" s="32"/>
      <c r="F102" s="27"/>
    </row>
    <row r="103" spans="1:6" ht="27.75" x14ac:dyDescent="0.2">
      <c r="A103" s="109" t="s">
        <v>118</v>
      </c>
      <c r="B103" s="55" t="str">
        <f>"Administrar "&amp;ROUNDUP(MIN(B2*15,1500)/50/3,1)&amp;" mL diluído em "&amp;IF(ROUNDUP(MIN(B2*15,1500)/50/3,1)&lt;=20,"50 mL","100 mL")&amp;" de SF 0,9% por via EV de 8/8 horas. Infundir em "&amp;IF(ROUNDUP(MIN(B2*15,1500)/50/3,1)&lt;=20,"30 minutos","60 minutos")&amp;"."</f>
        <v>Administrar 1 mL diluído em 50 mL de SF 0,9% por via EV de 8/8 horas. Infundir em 30 minutos.</v>
      </c>
      <c r="C103" s="27"/>
      <c r="D103" s="33"/>
      <c r="E103" s="34"/>
      <c r="F103" s="27"/>
    </row>
    <row r="104" spans="1:6" ht="27.75" x14ac:dyDescent="0.2">
      <c r="A104" s="57" t="s">
        <v>119</v>
      </c>
      <c r="B104" s="55" t="str">
        <f>"Administrar "&amp;ROUNDUP(MIN(B2*15,1500)/125/3,1)&amp;" mL diluído em "&amp;IF(ROUNDUP(MIN(B2*15,1500)/125/3,1)&lt;=20,"50 mL","100 mL")&amp;" de SF 0,9% por via EV de 8/8 horas. Infundir em "&amp;IF(ROUNDUP(MIN(B2*15,1500)/125/3,1)&lt;=20,"30 minutos","60 minutos")&amp;"."</f>
        <v>Administrar 0,4 mL diluído em 50 mL de SF 0,9% por via EV de 8/8 horas. Infundir em 30 minutos.</v>
      </c>
      <c r="C104" s="27"/>
      <c r="D104" s="33"/>
      <c r="E104" s="32"/>
      <c r="F104" s="27"/>
    </row>
    <row r="105" spans="1:6" ht="41.25" x14ac:dyDescent="0.2">
      <c r="A105" s="57" t="s">
        <v>120</v>
      </c>
      <c r="B105" s="55" t="str">
        <f>"Reconstituir 1 frasco(s) com 20 mL de AD. Administrar " &amp; ROUNDUP(IF(B1&lt;=0.3,IF(B2*25&lt;=1000,B2*25,1000)/50,IF(B2*25&lt;=1000,B2*25,1000)/50),1) &amp; " mL diluído em " &amp; IF(B1&lt;=0.3,"50","100") &amp; " mL de SF 0,9%. Infundir por via EV direto " &amp; IF(B1&lt;=0.3,"12/12 horas","8/8 horas") &amp; ".Fazer em 30 minutos."</f>
        <v>Reconstituir 1 frasco(s) com 20 mL de AD. Administrar 5 mL diluído em 100 mL de SF 0,9%. Infundir por via EV direto 8/8 horas.Fazer em 30 minutos.</v>
      </c>
      <c r="C105" s="48"/>
      <c r="D105" s="33"/>
      <c r="E105" s="34"/>
      <c r="F105" s="27"/>
    </row>
    <row r="106" spans="1:6" ht="41.25" x14ac:dyDescent="0.2">
      <c r="A106" s="57" t="s">
        <v>121</v>
      </c>
      <c r="B106" s="55" t="str">
        <f>"Reconstituir " &amp; IF(B2*25&lt;=1000,ROUNDUP(IF(B2*25&lt;=500,1,2),0),2) &amp; " frasco(s) com " &amp; IF(B2*25&lt;=1000,ROUNDUP(IF(B2*25&lt;=500,10,20),0),20) &amp; " mL de AD. Administrar " &amp; ROUNDUP(IF(B2*25&lt;=1000,B2*25,1000)/50,1) &amp; " mL diluído em " &amp; IF(B3&lt;=3,"50","100") &amp; " mL de SF 0,9%. Infundir por via EV direto " &amp; IF(B3&lt;=3,"12/12 horas","8/8 horas") &amp; ".Fazer em 30 minutos."</f>
        <v>Reconstituir 1 frasco(s) com 10 mL de AD. Administrar 5 mL diluído em 50 mL de SF 0,9%. Infundir por via EV direto 12/12 horas.Fazer em 30 minutos.</v>
      </c>
      <c r="C106" s="48"/>
      <c r="D106" s="33"/>
      <c r="E106" s="34"/>
      <c r="F106" s="27"/>
    </row>
    <row r="107" spans="1:6" ht="41.25" x14ac:dyDescent="0.2">
      <c r="A107" s="57" t="s">
        <v>122</v>
      </c>
      <c r="B107" s="28" t="str">
        <f>"Reconstituir "&amp;ROUNDUP(IF(B2*100&gt;12000,12000,B2*100)/4000,0)&amp;" frasco(s) com "&amp;ROUNDUP(IF(B2*100&gt;12000,12000,B2*100)/4000,0)*3&amp;" mL de AD. Administrar "&amp;ROUND(IF(B2*100&gt;12000,12000/4,B2*100/4)/1000,1)*3&amp;" mL da mistura diluído em 50 a 100 mL de SF 0,9%, SG 5% ou RL por via EV, a cada 6/6 horas. Infundir em 30 minutos."</f>
        <v>Reconstituir 1 frasco(s) com 3 mL de AD. Administrar 0,9 mL da mistura diluído em 50 a 100 mL de SF 0,9%, SG 5% ou RL por via EV, a cada 6/6 horas. Infundir em 30 minutos.</v>
      </c>
      <c r="D107" s="33"/>
      <c r="E107" s="34"/>
      <c r="F107" s="27"/>
    </row>
    <row r="108" spans="1:6" ht="47.25" customHeight="1" x14ac:dyDescent="0.2">
      <c r="A108" s="57" t="s">
        <v>123</v>
      </c>
      <c r="B108" s="28" t="str">
        <f>"Reconstituir " &amp; ROUNDUP(IF(B2*40&gt;2500,2500,B2*40)/1000,0) &amp; " frasco(s) com " &amp; ROUNDUP(IF(B2*40&gt;2500,2500,B2*40)/1000,0)*10 &amp; " mL de água destilada. Administrar " &amp; ROUNDUP(IF(B2*40&gt;2500,2500,B2*40)/100,1) &amp; " mL da solução diluído em 100 mL de SF 0,9%. Infundir por via EV de 6/6 horas. Fazer em 30 minutos."</f>
        <v>Reconstituir 1 frasco(s) com 10 mL de água destilada. Administrar 4 mL da solução diluído em 100 mL de SF 0,9%. Infundir por via EV de 6/6 horas. Fazer em 30 minutos.</v>
      </c>
      <c r="D108" s="33"/>
      <c r="E108" s="34"/>
      <c r="F108" s="27"/>
    </row>
    <row r="109" spans="1:6" ht="41.25" x14ac:dyDescent="0.2">
      <c r="A109" s="57" t="s">
        <v>124</v>
      </c>
      <c r="B109" s="28" t="str">
        <f>"Reconstituir "&amp;ROUNDUP(IF(B2*100&gt;12000,12000,B2*100)/2000,0)&amp;" frasco(s) com "&amp;ROUNDUP(IF(B2*100&gt;12000,12000,B2*100)/2000,0)*5&amp;" mL de AD ou SF 0,9%. Administrar "&amp;ROUND(IF(B2*100&gt;12000,12000/4,B2*100/4)/500,1)*5&amp;" mL da mistura diluído em 50 a 100 mL de SF 0,9%, SG 5% ou RL por via EV, a cada 6/6 horas. Infundir em 30 minutos."</f>
        <v>Reconstituir 1 frasco(s) com 5 mL de AD ou SF 0,9%. Administrar 2,5 mL da mistura diluído em 50 a 100 mL de SF 0,9%, SG 5% ou RL por via EV, a cada 6/6 horas. Infundir em 30 minutos.</v>
      </c>
      <c r="C109" s="126"/>
      <c r="D109" s="33"/>
      <c r="E109" s="34"/>
      <c r="F109" s="27"/>
    </row>
    <row r="110" spans="1:6" ht="27.75" x14ac:dyDescent="0.2">
      <c r="A110" s="57" t="s">
        <v>125</v>
      </c>
      <c r="B110" s="28" t="str">
        <f>"Administrar " &amp;ROUND(IF(B1&lt;5,(B2*5)/40,(B2*7.5)/40),1)&amp; " mL diluído em 50 a 100 mL de SF 0,9%, SG 5% ou RL por via EV, a cada 24/24 horas. Infundir em 30 minutos."</f>
        <v>Administrar 1,3 mL diluído em 50 a 100 mL de SF 0,9%, SG 5% ou RL por via EV, a cada 24/24 horas. Infundir em 30 minutos.</v>
      </c>
      <c r="C110" s="27"/>
      <c r="D110" s="33"/>
      <c r="E110" s="27"/>
      <c r="F110" s="27"/>
    </row>
    <row r="111" spans="1:6" ht="27.75" x14ac:dyDescent="0.2">
      <c r="A111" s="57" t="s">
        <v>126</v>
      </c>
      <c r="B111" s="28" t="str">
        <f>"Administrar "&amp;ROUND(IF(B2*40&gt;2700,2700/3,B2*40/3)/150,1)&amp;" mL diluído em 50 a 100 mL de SF 0,9%, SG 5% ou RL por via EV, a cada 8/8 horas. Infundir em 30 minutos."</f>
        <v>Administrar 0,9 mL diluído em 50 a 100 mL de SF 0,9%, SG 5% ou RL por via EV, a cada 8/8 horas. Infundir em 30 minutos.</v>
      </c>
      <c r="C111" s="27"/>
      <c r="D111" s="33"/>
      <c r="E111" s="27"/>
      <c r="F111" s="27"/>
    </row>
    <row r="112" spans="1:6" ht="41.25" x14ac:dyDescent="0.2">
      <c r="A112" s="57" t="s">
        <v>127</v>
      </c>
      <c r="B112" s="28" t="str">
        <f>"Reconstituir " &amp;ROUNDUP(IF(B2*10&gt;2000,2000,B2*10)/500,0)&amp;" frasco(s) com " &amp; ROUNDUP(IF(B2*10&gt;2000,2000,B2*10)/500,0)*5 &amp; " mL de AD. Administrar "&amp;ROUND(IF(B2*10&gt;2000,2000,B2*10)/500,1)*5&amp;" mL da mistura diluído em 100 mL de SF 0,9% por via EV, a cada 6/6 horas. Infundir em 60 minutos."</f>
        <v>Reconstituir 1 frasco(s) com 5 mL de AD. Administrar 1 mL da mistura diluído em 100 mL de SF 0,9% por via EV, a cada 6/6 horas. Infundir em 60 minutos.</v>
      </c>
      <c r="C112" s="27"/>
      <c r="D112" s="33"/>
      <c r="E112" s="27"/>
      <c r="F112" s="27"/>
    </row>
    <row r="113" spans="1:6" ht="41.25" x14ac:dyDescent="0.2">
      <c r="A113" s="57" t="s">
        <v>128</v>
      </c>
      <c r="B113" s="28" t="str">
        <f>"Reconstituir "&amp;ROUNDUP(IF(B2*40*3&gt;6000,6000,B2*40*3)/1500,0)&amp;" frasco(s) com "&amp;ROUNDUP(IF(B2*40*3&gt;6000,6000,B2*40*3)/1500,0)*5&amp;" mL de AD. Administrar "&amp;ROUNDUP(IF(B2*40&gt;2000,2000,B2*40)/500,1)*5&amp;" mL da mistura diluído em 50 a 100 mL de SF 0,9% ou SG 5% por via EV, a cada 8/8 horas. Infundir em 30 minutos."</f>
        <v>Reconstituir 1 frasco(s) com 5 mL de AD. Administrar 4 mL da mistura diluído em 50 a 100 mL de SF 0,9% ou SG 5% por via EV, a cada 8/8 horas. Infundir em 30 minutos.</v>
      </c>
      <c r="C113" s="27"/>
      <c r="D113" s="33"/>
      <c r="E113" s="27"/>
      <c r="F113" s="27"/>
    </row>
    <row r="114" spans="1:6" ht="41.25" x14ac:dyDescent="0.2">
      <c r="A114" s="57" t="s">
        <v>129</v>
      </c>
      <c r="B114" s="28" t="str">
        <f>"Reconstituir "&amp;ROUNDUP(IF(B2*100&gt;12000,12000,B2*100)/4000,0)&amp;" ampola(s) com "&amp;ROUNDUP(IF(B2*100&gt;12000,12000,B2*100)/4000,0)*3&amp;" mL de AD. Administrar "&amp;ROUNDUP(IF(B2*100&gt;12000,12000/3,B2*100/3)/1500,1)*3&amp;" mL da mistura diluído em 50 a 100 mL de SF 0,9% ou SG 5% por via EV, a cada 8/8 horas. Infundir em 30 minutos."</f>
        <v>Reconstituir 1 ampola(s) com 3 mL de AD. Administrar 0,9 mL da mistura diluído em 50 a 100 mL de SF 0,9% ou SG 5% por via EV, a cada 8/8 horas. Infundir em 30 minutos.</v>
      </c>
      <c r="C114" s="27"/>
      <c r="D114" s="33"/>
      <c r="E114" s="27"/>
      <c r="F114" s="27"/>
    </row>
    <row r="115" spans="1:6" ht="27.75" x14ac:dyDescent="0.2">
      <c r="A115" s="84" t="s">
        <v>130</v>
      </c>
      <c r="B115" s="28" t="str">
        <f>"Reconstituir "&amp;ROUNDUP(IF(B1&lt;=0.9,MIN(B2*80,16000)/4000,MIN(B2*100,16000)/4000),0)&amp;" frasco(s) com "&amp;ROUNDUP(IF(B1&lt;=0.9,MIN(B2*80,16000)/4000,MIN(B2*100,16000)/4000),0)*4&amp;" mL de AD. Administrar "&amp;ROUNDUP(IF(B1&lt;=0,MIN(B2*80,16000)/1000,MIN(B2*100,16000)/1000),1)&amp;" mL diluído em "&amp;IF(B1&lt;=0.9,"50 mL","100 mL")&amp;" de SF 0,9% por via EV de "&amp;IF(B1&lt;=0.9,"6/6 horas","8/8 horas")&amp;". Infundir em 60 minutos."</f>
        <v>Reconstituir 1 frasco(s) com 4 mL de AD. Administrar 1 mL diluído em 100 mL de SF 0,9% por via EV de 8/8 horas. Infundir em 60 minutos.</v>
      </c>
      <c r="C115" s="48"/>
      <c r="D115" s="33"/>
      <c r="E115" s="27"/>
      <c r="F115" s="27"/>
    </row>
    <row r="116" spans="1:6" ht="41.25" x14ac:dyDescent="0.2">
      <c r="A116" s="113" t="s">
        <v>131</v>
      </c>
      <c r="B116" s="28" t="str">
        <f>IF(B1&lt;=4,"Dose de ataque: Administrar "&amp;ROUND(IF(B2*15&gt;4000,4000,B2*15)/5,1)&amp;" mL por via EV. (Infundir em 60 minutos) | Dose de manutenção: Administrar "&amp;ROUND(IF(B2*7.5*2&gt;4000,4000/2,B2*7.5)/5,1)&amp;" mL por via EV de 12/12 horas. (Infundir em 60 minutos)","Dose de ataque: Administrar "&amp;ROUND(IF(B2*15&gt;4000,4000,B2*15)/5,1)&amp;" mL por via EV. (Infundir em 60 minutos) | Dose de manutenção: Administrar "&amp;ROUND(IF(B2*7.5*3&gt;4000,4000/3,B2*7.5)/5,1)&amp;" mL por via EV de 8/8 horas. (Infundir em 60 minutos)")</f>
        <v>Dose de ataque: Administrar 30 mL por via EV. (Infundir em 60 minutos) | Dose de manutenção: Administrar 15 mL por via EV de 12/12 horas. (Infundir em 60 minutos)</v>
      </c>
      <c r="C116" s="27"/>
      <c r="D116" s="33"/>
      <c r="E116" s="27"/>
      <c r="F116" s="27"/>
    </row>
    <row r="117" spans="1:6" ht="41.25" x14ac:dyDescent="0.2">
      <c r="A117" s="113" t="s">
        <v>132</v>
      </c>
      <c r="B117" s="55" t="str">
        <f>"Reconstituir 1 frasco(s) com 10 mL de AD. Administrar " &amp; ROUNDUP(IF(B2*7.5&lt;=500,B2*7.5,500)/50,1) &amp; " mL diluído em 100 mL de SF 0,9% ou SG 5%  por via EV, de 12/12 horas. Infundir em 30 minutos."</f>
        <v>Reconstituir 1 frasco(s) com 10 mL de AD. Administrar 1,5 mL diluído em 100 mL de SF 0,9% ou SG 5%  por via EV, de 12/12 horas. Infundir em 30 minutos.</v>
      </c>
      <c r="C117" s="27"/>
      <c r="D117" s="33"/>
      <c r="E117" s="27"/>
      <c r="F117" s="27"/>
    </row>
    <row r="118" spans="1:6" x14ac:dyDescent="0.2">
      <c r="A118" s="114" t="s">
        <v>133</v>
      </c>
      <c r="B118" s="60"/>
      <c r="C118" s="27"/>
      <c r="D118" s="33"/>
      <c r="E118" s="27"/>
      <c r="F118" s="27"/>
    </row>
    <row r="119" spans="1:6" ht="27.75" x14ac:dyDescent="0.2">
      <c r="A119" s="109" t="s">
        <v>134</v>
      </c>
      <c r="B119" s="28" t="str">
        <f>"Reconstituir "&amp;IF(ROUNDUP((B2*100)/1000,0)&lt;=2,ROUNDUP((B2*100)/1000,0),2)&amp;" frasco(s) com "&amp;IF(ROUNDUP((B2*100)/1000,0)&lt;=2,ROUNDUP((B2*100)/1000,0),2)*2.5&amp;" mL de AD. Administrar "&amp;ROUND(IF((B2*100)&lt;=2000,(B2*100)/400,2000/400),1)&amp;" mL por via IM a cada 24/24 horas. Por 3 a 5 dias."</f>
        <v>Reconstituir 1 frasco(s) com 2,5 mL de AD. Administrar 2,5 mL por via IM a cada 24/24 horas. Por 3 a 5 dias.</v>
      </c>
      <c r="C119" s="27"/>
      <c r="D119" s="33"/>
      <c r="E119" s="27"/>
      <c r="F119" s="27"/>
    </row>
    <row r="120" spans="1:6" ht="27.75" x14ac:dyDescent="0.2">
      <c r="A120" s="57" t="s">
        <v>135</v>
      </c>
      <c r="B120" s="28" t="str">
        <f>"Reconstituir "&amp;IF(ROUNDUP((B2*50000)/600000,0)&lt;=2,ROUNDUP((B2*50000)/600000,0),2)&amp;" frasco(s) com "&amp;IF(ROUNDUP((B2*50000)/600000,0)&lt;=2,ROUNDUP((B2*50000)/600000,0),2)*3.2&amp;" mL de diluente para obter uma mistura de "&amp;IF(ROUNDUP((B2*50000)/600000,0)&lt;=2,ROUNDUP((B2*50000)/600000,0),2)*4&amp;" mL. Administrar "&amp;ROUND(IF((B2*50000)&lt;=1200000,(B2*50000)/150000,1200000/150000),1)&amp;" mL por via IM, dose única."</f>
        <v>Reconstituir 1 frasco(s) com 3,2 mL de diluente para obter uma mistura de 4 mL. Administrar 3,3 mL por via IM, dose única.</v>
      </c>
      <c r="C120" s="27"/>
      <c r="D120" s="33"/>
      <c r="E120" s="27"/>
      <c r="F120" s="27"/>
    </row>
    <row r="121" spans="1:6" ht="27.75" x14ac:dyDescent="0.2">
      <c r="A121" s="84" t="s">
        <v>136</v>
      </c>
      <c r="B121" s="28" t="str">
        <f>"Reconstituir "&amp;IF(ROUNDUP((B2*50000)/1200000,0)&lt;=1,ROUNDUP((B2*50000)/1200000,0),1)&amp;" frasco(s) com 3,2 mL de diluente para obter uma mistura de 4 mL. Administrar "&amp;ROUND(IF((B2*50000)&lt;=1200000,(B2*50000)/300000,1200000/300000),1)&amp;" mL por via IM, dose única."</f>
        <v>Reconstituir 1 frasco(s) com 3,2 mL de diluente para obter uma mistura de 4 mL. Administrar 1,7 mL por via IM, dose única.</v>
      </c>
      <c r="C121" s="27"/>
      <c r="D121" s="34"/>
      <c r="E121" s="27"/>
      <c r="F121" s="27"/>
    </row>
    <row r="122" spans="1:6" ht="61.5" customHeight="1" x14ac:dyDescent="0.2">
      <c r="A122" s="57" t="s">
        <v>137</v>
      </c>
      <c r="B122" s="28" t="str">
        <f>"Reconstituir "&amp;ROUNDUP(MIN(B2*50000,5000000)/5000000,0)&amp;" frasco(s) com "&amp;ROUNDUP(MIN(B2*50000,5000000)/5000000,0)*10&amp;" mL de diluente. Pegar "&amp;ROUNDDOWN(MIN(B2*50000,5000000)/500000,2)&amp;" mL da mistura e diluir em "&amp;ROUNDDOWN((MIN(B2*50000,5000000)/10000)-ROUNDDOWN(MIN(B2*50000,5000000)/500000,2),2)&amp;" mL de SG 5% e administrar por via EV bem lento. Correr em 60 minutos. Administrar de "&amp;IF(B1&lt;=0.07,"12/12 horas","8/8 horas")&amp;" (50.000 UI/kg/dose)."</f>
        <v>Reconstituir 1 frasco(s) com 10 mL de diluente. Pegar 1 mL da mistura e diluir em 49 mL de SG 5% e administrar por via EV bem lento. Correr em 60 minutos. Administrar de 8/8 horas (50.000 UI/kg/dose).</v>
      </c>
      <c r="C122" s="27"/>
      <c r="D122" s="34"/>
      <c r="E122" s="27"/>
      <c r="F122" s="27"/>
    </row>
    <row r="123" spans="1:6" ht="41.25" x14ac:dyDescent="0.2">
      <c r="A123" s="57" t="s">
        <v>138</v>
      </c>
      <c r="B123" s="28" t="str">
        <f>"Reconstituir "&amp;ROUNDUP(MIN(B2*25000,2000000)/1000000,0)&amp;" frasco(s) com "&amp;ROUNDUP(MIN(B2*25000,2000000)/1000000,0)*10&amp;" mL de AD. Pegar "&amp;ROUNDDOWN(MIN(B2*25000,2000000)/100000,2)&amp;" mL da mistura e diluir em "&amp;ROUNDDOWN(IF(MIN(B2*25000,2000000)&lt;=500000,250,250*(MIN(B2*25000,2000000)/500000)),2)&amp;" mL de SG 5%. Infundir por via EV bem lenta, em 2 horas. Administrar de 12/12 horas. (25.000 UI/Kg/Dia)."</f>
        <v>Reconstituir 1 frasco(s) com 10 mL de AD. Pegar 2,5 mL da mistura e diluir em 250 mL de SG 5%. Infundir por via EV bem lenta, em 2 horas. Administrar de 12/12 horas. (25.000 UI/Kg/Dia).</v>
      </c>
      <c r="C123" s="27"/>
      <c r="D123" s="34"/>
      <c r="E123" s="27"/>
      <c r="F123" s="27"/>
    </row>
    <row r="124" spans="1:6" x14ac:dyDescent="0.2">
      <c r="A124" s="102" t="s">
        <v>139</v>
      </c>
      <c r="B124" s="60"/>
      <c r="C124" s="33"/>
      <c r="D124" s="33"/>
      <c r="E124" s="27"/>
      <c r="F124" s="27"/>
    </row>
    <row r="125" spans="1:6" ht="27.75" x14ac:dyDescent="0.2">
      <c r="A125" s="57" t="s">
        <v>140</v>
      </c>
      <c r="B125" s="55" t="str">
        <f>"Administrar " &amp; ROUNDUP(IF(B2*2&lt;=B2*13,B2*2,B2*13)/50,1) &amp; " mL diluído em 10 mL de SF 0,9%. Fazer bem lento. Usar uma vez ao dia.(2mg/kg)."</f>
        <v>Administrar 0,4 mL diluído em 10 mL de SF 0,9%. Fazer bem lento. Usar uma vez ao dia.(2mg/kg).</v>
      </c>
      <c r="C125" s="128" t="str">
        <f>"Administrar " &amp; ROUNDUP(IF(B2*1&lt;=B2*13,B2*1,B2*13)/50,1) &amp; " mL diluído em 10 mL de SF 0,9%. Fazer bem lento. Usar uma vez ao dia. (1mg/kg)."</f>
        <v>Administrar 0,2 mL diluído em 10 mL de SF 0,9%. Fazer bem lento. Usar uma vez ao dia. (1mg/kg).</v>
      </c>
      <c r="D125" s="33"/>
      <c r="E125" s="27"/>
      <c r="F125" s="27"/>
    </row>
    <row r="126" spans="1:6" x14ac:dyDescent="0.2">
      <c r="A126" s="57" t="s">
        <v>141</v>
      </c>
      <c r="B126" s="55" t="str">
        <f>"Administrar " &amp; ROUNDUP(IF(B2*0.2&lt;=10,B2*0.2,10)/5,1) &amp; " mL por via IM ou EV."</f>
        <v>Administrar 0,4 mL por via IM ou EV.</v>
      </c>
      <c r="D126" s="33"/>
      <c r="E126" s="27"/>
      <c r="F126" s="27"/>
    </row>
    <row r="127" spans="1:6" x14ac:dyDescent="0.2">
      <c r="A127" s="57" t="s">
        <v>142</v>
      </c>
      <c r="B127" s="55" t="str">
        <f>"Administrar " &amp; ROUNDUP(IF(B2*2&lt;=B2*18,B2*2,B2*18)/10,1) &amp; " mL por via EV puro sem diluição. Fazer bem lento.(2mg/kg)."</f>
        <v>Administrar 2 mL por via EV puro sem diluição. Fazer bem lento.(2mg/kg).</v>
      </c>
      <c r="C127" s="128" t="str">
        <f>"Administrar " &amp; ROUNDUP(IF(B2*1&lt;=B2*18,B2*1,B2*18)/10,1) &amp; " mL por via EV puro sem diluição. Fazer bem lento.(1mg/kg)."</f>
        <v>Administrar 1 mL por via EV puro sem diluição. Fazer bem lento.(1mg/kg).</v>
      </c>
      <c r="D127" s="33"/>
      <c r="E127" s="27"/>
      <c r="F127" s="27"/>
    </row>
    <row r="128" spans="1:6" ht="27.75" x14ac:dyDescent="0.2">
      <c r="A128" s="57" t="s">
        <v>143</v>
      </c>
      <c r="B128" s="55" t="str">
        <f>"Administrar " &amp; ROUNDUP(IF(B2*0.3&lt;=20,B2*0.3,20)/2,1) &amp; " mL diluído em 10 mL de SF 0,9%. Fazer lentamente por via EV.(0,3mg/kg)."</f>
        <v>Administrar 1,5 mL diluído em 10 mL de SF 0,9%. Fazer lentamente por via EV.(0,3mg/kg).</v>
      </c>
      <c r="C128" s="128" t="str">
        <f>"Administrar " &amp; ROUNDUP(IF(B2*0.2&lt;=20,B2*0.2,20)/2,1) &amp; " mL diluído em 10 mL de SF 0,9%. Fazer lentamente por via EV.(0,2mg/kg)."</f>
        <v>Administrar 1 mL diluído em 10 mL de SF 0,9%. Fazer lentamente por via EV.(0,2mg/kg).</v>
      </c>
      <c r="D128" s="33"/>
      <c r="E128" s="27"/>
      <c r="F128" s="27"/>
    </row>
    <row r="129" spans="1:6" ht="27.75" x14ac:dyDescent="0.2">
      <c r="A129" s="57" t="s">
        <v>144</v>
      </c>
      <c r="B129" s="55" t="str">
        <f>"Administrar " &amp; ROUNDUP(IF(B2*2&lt;=50,B2*2,50)/50,1) &amp; " mL diluído em 10 mL de SF 0,9%. Fazer lentamente por via EV."</f>
        <v>Administrar 0,4 mL diluído em 10 mL de SF 0,9%. Fazer lentamente por via EV.</v>
      </c>
      <c r="C129" s="27"/>
      <c r="D129" s="33"/>
      <c r="E129" s="27"/>
      <c r="F129" s="27"/>
    </row>
    <row r="130" spans="1:6" x14ac:dyDescent="0.2">
      <c r="A130" s="170" t="s">
        <v>145</v>
      </c>
      <c r="B130" s="60"/>
      <c r="C130" s="27"/>
      <c r="D130" s="33"/>
      <c r="E130" s="27"/>
      <c r="F130" s="27"/>
    </row>
    <row r="131" spans="1:6" x14ac:dyDescent="0.2">
      <c r="A131" s="57" t="s">
        <v>146</v>
      </c>
      <c r="B131" s="55" t="str">
        <f>"Administrar " &amp; ROUNDUP(B2/10,1) &amp; " mL diluído em " &amp; ROUNDUP(ROUNDUP(B2/10,1)/5,0)*10 &amp; " mL de SF 0,9%. Fazer em bolus por via EV."</f>
        <v>Administrar 1 mL diluído em 10 mL de SF 0,9%. Fazer em bolus por via EV.</v>
      </c>
      <c r="C131" s="27"/>
      <c r="D131" s="33"/>
      <c r="E131" s="27"/>
      <c r="F131" s="27"/>
    </row>
    <row r="132" spans="1:6" ht="27.75" x14ac:dyDescent="0.2">
      <c r="A132" s="57" t="s">
        <v>147</v>
      </c>
      <c r="B132" s="55" t="str">
        <f>"Reconstituir " &amp; IF(B2*2&lt;=100,1,2) &amp; " frasco(s) com " &amp; IF(B2*2&lt;=100,10,20) &amp; " mL de AD. Administrar " &amp; ROUNDUP(IF(B2*2&lt;=150,B2*2,150)/10,1) &amp; " mL por via EV em bolus."</f>
        <v>Reconstituir 1 frasco(s) com 10 mL de AD. Administrar 2 mL por via EV em bolus.</v>
      </c>
      <c r="C132" s="27"/>
      <c r="D132" s="33"/>
      <c r="E132" s="27"/>
      <c r="F132" s="27"/>
    </row>
    <row r="133" spans="1:6" x14ac:dyDescent="0.2">
      <c r="A133" s="170" t="s">
        <v>148</v>
      </c>
      <c r="B133" s="60"/>
      <c r="C133" s="27"/>
      <c r="D133" s="33"/>
      <c r="E133" s="27"/>
      <c r="F133" s="27"/>
    </row>
    <row r="134" spans="1:6" ht="27.75" x14ac:dyDescent="0.2">
      <c r="A134" s="57" t="s">
        <v>149</v>
      </c>
      <c r="B134" s="55" t="str">
        <f>"Administrar " &amp; IF(B2*0.02/0.25&lt;=2,ROUNDUP(B2*0.02/0.25,1),2) &amp; " mL de Atropina por via EV " &amp; IF(B2*0.02/0.25&lt;=2,"sem diluição","diluído em 50 mL de SF 0,9%") &amp; ". Pode repetir uma vez em 5 minutos."</f>
        <v>Administrar 0,8 mL de Atropina por via EV sem diluição. Pode repetir uma vez em 5 minutos.</v>
      </c>
      <c r="C134" s="27"/>
      <c r="D134" s="33"/>
      <c r="E134" s="27"/>
      <c r="F134" s="27"/>
    </row>
    <row r="135" spans="1:6" x14ac:dyDescent="0.2">
      <c r="A135" s="170" t="s">
        <v>150</v>
      </c>
      <c r="B135" s="60"/>
      <c r="C135" s="27"/>
      <c r="D135" s="33"/>
      <c r="E135" s="27"/>
      <c r="F135" s="27"/>
    </row>
    <row r="136" spans="1:6" ht="27.75" x14ac:dyDescent="0.2">
      <c r="A136" s="57" t="s">
        <v>151</v>
      </c>
      <c r="B136" s="55" t="str">
        <f>"Administrar por via EV ou IM: "&amp;ROUNDUP(IF(B2*0.2&lt;=5,(B2*0.2)/5,5/5),2)&amp;" mL/dose, repetir até "&amp;ROUNDUP(IF(B2*0.4&lt;=10,(B2*0.4)/5,10/5),2)&amp;" mL (dose total). | EV contínuo: "&amp;ROUNDUP(IF(B2*0.2&lt;=10,(B2*0.2)/5,10/5),2)&amp;" mL/hora. | Nasal: "&amp;ROUNDUP(IF(B2*0.4&lt;=10,(B2*0.4)/5,10/5),2)&amp;" mL/dose. | Retal: "&amp;ROUNDUP(IF(B2*1&lt;=10,(B2*1)/5,10/5),2)&amp;" mL/dose."</f>
        <v>Administrar por via EV ou IM: 0,4 mL/dose, repetir até 0,8 mL (dose total). | EV contínuo: 0,4 mL/hora. | Nasal: 0,8 mL/dose. | Retal: 2 mL/dose.</v>
      </c>
      <c r="C136" s="27"/>
      <c r="D136" s="33"/>
      <c r="E136" s="27"/>
      <c r="F136" s="27"/>
    </row>
    <row r="137" spans="1:6" ht="27.75" x14ac:dyDescent="0.2">
      <c r="A137" s="57" t="s">
        <v>152</v>
      </c>
      <c r="B137" s="55" t="str">
        <f>"Administrar "&amp;ROUNDUP(IF((B2*0.2)&lt;=20,(B2*0.2)/5,20/5),1)&amp;" mL diluído em 10 mL de SF 0,9%. Administrar por via EV bem lento | Pode repetir até 3 vezes com intervalo de 5 minutos."</f>
        <v>Administrar 0,4 mL diluído em 10 mL de SF 0,9%. Administrar por via EV bem lento | Pode repetir até 3 vezes com intervalo de 5 minutos.</v>
      </c>
      <c r="C137" s="27"/>
      <c r="D137" s="33"/>
      <c r="E137" s="27"/>
      <c r="F137" s="27"/>
    </row>
    <row r="138" spans="1:6" ht="68.25" x14ac:dyDescent="0.2">
      <c r="A138" s="57" t="s">
        <v>153</v>
      </c>
      <c r="B138" s="55" t="str">
        <f>"Administrar "&amp;ROUNDUP(MIN(B2*20,1000)/50,1)&amp;" mL diluído em 100 mL de SF 0,9%. Correr em 20 minutos a uma taxa de "&amp;ROUNDUP(MIN(B2*20,1000)/20/50,2)&amp;" mL/min. Pode repetir mais uma dose de "&amp;ROUNDUP(MIN(B2*10,1000)/50,1)&amp;" mL. Se necessário, caso a convulsão não melhore. Observção: É necessária monitorização cardíaca cuidadosa durante e após a administração intravenosa."</f>
        <v>Administrar 4 mL diluído em 100 mL de SF 0,9%. Correr em 20 minutos a uma taxa de 0,2 mL/min. Pode repetir mais uma dose de 2 mL. Se necessário, caso a convulsão não melhore. Observção: É necessária monitorização cardíaca cuidadosa durante e após a administração intravenosa.</v>
      </c>
      <c r="C138" s="27"/>
      <c r="D138" s="33"/>
      <c r="E138" s="27"/>
      <c r="F138" s="27"/>
    </row>
    <row r="139" spans="1:6" ht="68.25" x14ac:dyDescent="0.2">
      <c r="A139" s="57" t="s">
        <v>154</v>
      </c>
      <c r="B139" s="55" t="str">
        <f>"Administrar "&amp;ROUNDUP(MIN(B2*20,1000)/100,1)&amp;" mL diluído em 100 mL de SF 0,9%. Correr em 20 minutos a uma taxa de "&amp;ROUNDUP(MIN(B2*20,1000)/20/100,2)&amp;" mL/min. Pode repetir mais uma dose de "&amp;ROUNDUP(MIN(B2*10,1000)/100,1)&amp;" mL caso a convulsão não melhore após 10 a 15 minutos. Observação: Suporte respiratório adicional pode ser necessário, especialmente ao maximizar a dose de ataque ou com terapia sedativa concomitante."</f>
        <v>Administrar 2 mL diluído em 100 mL de SF 0,9%. Correr em 20 minutos a uma taxa de 0,1 mL/min. Pode repetir mais uma dose de 1 mL caso a convulsão não melhore após 10 a 15 minutos. Observação: Suporte respiratório adicional pode ser necessário, especialmente ao maximizar a dose de ataque ou com terapia sedativa concomitante.</v>
      </c>
      <c r="C139" s="27"/>
      <c r="D139" s="33"/>
      <c r="E139" s="27"/>
      <c r="F139" s="27"/>
    </row>
    <row r="140" spans="1:6" x14ac:dyDescent="0.2">
      <c r="A140" s="57" t="s">
        <v>155</v>
      </c>
      <c r="B140" s="55" t="str">
        <f>"Administrar "&amp;ROUNDUP(MIN(B2*2,500)/2,0)&amp;" gotas por via oral de 24/24 horas. Uma vez ao dia."</f>
        <v>Administrar 10 gotas por via oral de 24/24 horas. Uma vez ao dia.</v>
      </c>
      <c r="D140" s="25"/>
      <c r="E140" s="27"/>
      <c r="F140" s="27"/>
    </row>
    <row r="141" spans="1:6" ht="27.75" x14ac:dyDescent="0.2">
      <c r="A141" s="57" t="s">
        <v>156</v>
      </c>
      <c r="B141" s="55" t="str">
        <f>"Dose inicial: Tomar "&amp;ROUNDUP(MIN(B2*0.01,B2*0.03)/0.125/2,0)&amp;" gotas por via oral de 12/12 horas. | Dose de manutenção: Tomar "&amp;ROUNDUP(MIN(B2*0.1,B2*0.2)/0.125/2,0)&amp;" gotas por via oral de 12/12 horas."</f>
        <v>Dose inicial: Tomar 1 gotas por via oral de 12/12 horas. | Dose de manutenção: Tomar 4 gotas por via oral de 12/12 horas.</v>
      </c>
      <c r="D141" s="25"/>
      <c r="E141" s="27"/>
      <c r="F141" s="27"/>
    </row>
    <row r="142" spans="1:6" ht="41.25" x14ac:dyDescent="0.2">
      <c r="A142" s="57" t="s">
        <v>157</v>
      </c>
      <c r="B142" s="55" t="str">
        <f>"Administrar "&amp;ROUNDUP(IF(B1&lt;5,MIN(B2*0.55,40)/5,MIN(B2*0.55,75)/5),1)&amp;" mL diluído em "&amp;ROUNDUP(IF(B1&lt;5,MIN(B2*0.55,40)/1,MIN(B2*0.55,75)/1),1)-ROUNDUP(IF(B1&lt;5,MIN(B2*0.55,40)/5,MIN(B2*0.55,75)/5),1)&amp;" mL de SF 0,9% por via EV. Pode repetir a cada 8 horas. Se necessário. Observação: Administrar EV lentamente, por pelo menos 2 minutos."</f>
        <v>Administrar 1,1 mL diluído em 4,4 mL de SF 0,9% por via EV. Pode repetir a cada 8 horas. Se necessário. Observação: Administrar EV lentamente, por pelo menos 2 minutos.</v>
      </c>
      <c r="D142" s="25"/>
      <c r="E142" s="27"/>
      <c r="F142" s="27"/>
    </row>
    <row r="143" spans="1:6" x14ac:dyDescent="0.2">
      <c r="A143" s="170" t="s">
        <v>158</v>
      </c>
      <c r="B143" s="60"/>
      <c r="D143" s="25"/>
      <c r="E143" s="27"/>
      <c r="F143" s="27"/>
    </row>
    <row r="144" spans="1:6" ht="27.75" x14ac:dyDescent="0.2">
      <c r="A144" s="57" t="s">
        <v>159</v>
      </c>
      <c r="B144" s="55" t="str">
        <f>"Administrar "&amp;ROUND((B2 * 0.1 * 1440) / 1000, 2) &amp; " mL de adrenalina + " &amp; ROUND(100 - ((B2 * 0.1 * 1440) / 1000), 2) &amp; " mL de SF 0,9% | Administrar a " &amp; ROUND(250 / 24, 1) &amp; " mL/hora em BIC - Por 24 horas."</f>
        <v>Administrar 1,44 mL de adrenalina + 98,56 mL de SF 0,9% | Administrar a 10,4 mL/hora em BIC - Por 24 horas.</v>
      </c>
      <c r="D144" s="25"/>
      <c r="E144" s="27"/>
      <c r="F144" s="27"/>
    </row>
    <row r="145" spans="1:6" ht="27.75" x14ac:dyDescent="0.2">
      <c r="A145" s="57" t="s">
        <v>160</v>
      </c>
      <c r="B145" s="55" t="str">
        <f>"Administrar "&amp;ROUND((B2 * 0.3 * 1440) / 1000, 2) &amp; " mL de adrenalina + " &amp; ROUND(250 - ((B2 * 0.3 * 1440) / 1000), 2) &amp; " mL de SF 0,9% | Administrar a " &amp; ROUND(250 / 24, 1) &amp; " mL/hora em BIC - Por 24 horas."</f>
        <v>Administrar 4,32 mL de adrenalina + 245,68 mL de SF 0,9% | Administrar a 10,4 mL/hora em BIC - Por 24 horas.</v>
      </c>
      <c r="D145" s="25"/>
      <c r="E145" s="27"/>
      <c r="F145" s="27"/>
    </row>
    <row r="146" spans="1:6" ht="27.75" x14ac:dyDescent="0.2">
      <c r="A146" s="57" t="s">
        <v>161</v>
      </c>
      <c r="B146" s="55" t="str">
        <f>"Administrar "&amp;ROUND((B2 * 0.1 * 1440) / 1000, 2) &amp; " mL de noradrenalina + " &amp; ROUND(250 - ((B2 * 0.1 * 1440) / 1000), 2) &amp; " mL de SF 0,9% | ADMINISTRAR A " &amp; ROUND(250 / 24, 1) &amp; " mL/hora em BIC - Por 24 horas."</f>
        <v>Administrar 1,44 mL de noradrenalina + 248,56 mL de SF 0,9% | ADMINISTRAR A 10,4 mL/hora em BIC - Por 24 horas.</v>
      </c>
      <c r="D146" s="25"/>
      <c r="E146" s="27"/>
      <c r="F146" s="27"/>
    </row>
    <row r="147" spans="1:6" ht="27.75" x14ac:dyDescent="0.2">
      <c r="A147" s="57" t="s">
        <v>162</v>
      </c>
      <c r="B147" s="55" t="str">
        <f>"Administrar "&amp;ROUND((B2 * 5 * 1440) / 12500, 2) &amp; " mL de dobutamina + " &amp; ROUND(250 - ((B2 * 5 * 1440) / 12500), 2) &amp; " mL de SF 0,9% | Administrar a " &amp; ROUND(250 / 24, 1) &amp; " mL/hora em BIC - Por 24 horas."</f>
        <v>Administrar 5,76 mL de dobutamina + 244,24 mL de SF 0,9% | Administrar a 10,4 mL/hora em BIC - Por 24 horas.</v>
      </c>
      <c r="D147" s="25"/>
      <c r="E147" s="27"/>
      <c r="F147" s="27"/>
    </row>
    <row r="148" spans="1:6" ht="27.75" x14ac:dyDescent="0.2">
      <c r="A148" s="57" t="s">
        <v>163</v>
      </c>
      <c r="B148" s="55" t="str">
        <f>"Administrar "&amp;ROUND((B2 * 0.25 * 1440) / 1000, 2) &amp; " mL de milrinona + " &amp; ROUND(192 - ((B2 * 0.25 * 1440) / 1000), 2) &amp; " mL de SF 0,9% | Administrar a " &amp; ROUND(192 / 24, 1) &amp; " mL/hora em BIC - Por 24 horas."</f>
        <v>Administrar 3,6 mL de milrinona + 188,4 mL de SF 0,9% | Administrar a 8 mL/hora em BIC - Por 24 horas.</v>
      </c>
      <c r="D148" s="25"/>
      <c r="E148" s="27"/>
      <c r="F148" s="27"/>
    </row>
    <row r="149" spans="1:6" ht="27.75" x14ac:dyDescent="0.2">
      <c r="A149" s="57" t="s">
        <v>164</v>
      </c>
      <c r="B149" s="55" t="str">
        <f>"Administrar "&amp;ROUND((B2 * 0.3 * 1440) / 25000, 2) &amp; " mL de nitruprussiato + " &amp; ROUND(200 - ((B2 * 0.3 * 1440) / 25000), 2) &amp; " mL de SF 0,9% | Administrar a " &amp; ROUND(200 / 24, 1) &amp; " mL/hora em BIC - Por 24 horas."</f>
        <v>Administrar 0,17 mL de nitruprussiato + 199,83 mL de SF 0,9% | Administrar a 8,3 mL/hora em BIC - Por 24 horas.</v>
      </c>
      <c r="D149" s="25"/>
      <c r="E149" s="27"/>
      <c r="F149" s="27"/>
    </row>
    <row r="150" spans="1:6" ht="27.75" x14ac:dyDescent="0.2">
      <c r="A150" s="57" t="s">
        <v>165</v>
      </c>
      <c r="B150" s="55" t="str">
        <f>"Administrar "&amp;ROUND((B2 * 3 * 24) / 50, 2) &amp; " mL de fentanil + " &amp; ROUND(100 - ((B2 * 3 * 24) / 50), 2) &amp; " mL de SF 0,9% | Administrar a " &amp; ROUND(100 / 24, 1) &amp; " mL/hora em BIC - Por 24 horas."</f>
        <v>Administrar 14,4 mL de fentanil + 85,6 mL de SF 0,9% | Administrar a 4,2 mL/hora em BIC - Por 24 horas.</v>
      </c>
      <c r="D150" s="25"/>
      <c r="E150" s="27"/>
      <c r="F150" s="27"/>
    </row>
    <row r="151" spans="1:6" ht="27.75" x14ac:dyDescent="0.2">
      <c r="A151" s="57" t="s">
        <v>166</v>
      </c>
      <c r="B151" s="55" t="str">
        <f>"Administrar "&amp;ROUND((B2 * 10 * 24) / 10000, 2) &amp; " mL de morfina + " &amp; ROUND(100 - ((B2 * 10 * 24) / 10000), 2) &amp; " mL de SF 0,9% | Administrar a " &amp; ROUND(100 / 24, 1) &amp; " mL/hora em BIC - Por 24 horas."</f>
        <v>Administrar 0,24 mL de morfina + 99,76 mL de SF 0,9% | Administrar a 4,2 mL/hora em BIC - Por 24 horas.</v>
      </c>
      <c r="D151" s="25"/>
      <c r="E151" s="27"/>
      <c r="F151" s="27"/>
    </row>
    <row r="152" spans="1:6" ht="27.75" x14ac:dyDescent="0.2">
      <c r="A152" s="57" t="s">
        <v>167</v>
      </c>
      <c r="B152" s="55" t="str">
        <f>"Administrar "&amp;ROUND((B2 * 0.3 * 24) / 5, 2) &amp; " mL de midazolan + " &amp; ROUND(100 - ((B2 * 0.3 * 24) / 5), 2) &amp; " mL de SF 0,9% | Administrar a " &amp; ROUND(100 / 24, 1) &amp; " mL/hora em BIC - Por 24 horas."</f>
        <v>Administrar 14,4 mL de midazolan + 85,6 mL de SF 0,9% | Administrar a 4,2 mL/hora em BIC - Por 24 horas.</v>
      </c>
      <c r="D152" s="25"/>
      <c r="E152" s="27"/>
      <c r="F152" s="27"/>
    </row>
    <row r="153" spans="1:6" ht="27.75" x14ac:dyDescent="0.2">
      <c r="A153" s="57" t="s">
        <v>168</v>
      </c>
      <c r="B153" s="55" t="str">
        <f>"Administrar "&amp;ROUND((B2 * 10 * 1440) / 50000, 2) &amp; " mL de ketamine + " &amp; ROUND(150 - ((B2 * 10 * 1440) / 50000), 2) &amp; " mL de SF 0,9% | Administrar a " &amp; ROUND(150 / 24, 1) &amp; " mL/hora em BIC - Por 24 horas."</f>
        <v>Administrar 2,88 mL de ketamine + 147,12 mL de SF 0,9% | Administrar a 6,3 mL/hora em BIC - Por 24 horas.</v>
      </c>
      <c r="D153" s="25"/>
      <c r="E153" s="27"/>
      <c r="F153" s="27"/>
    </row>
    <row r="154" spans="1:6" ht="54.75" x14ac:dyDescent="0.2">
      <c r="A154" s="57" t="s">
        <v>169</v>
      </c>
      <c r="B154" s="55" t="str">
        <f>"Dose de ataque =&gt; Administrar " &amp; ROUND((B2 * 15) / 500, 2) &amp; " mL de salbutamol diluido em  " &amp; ROUND(10 - ((B2 * 15) / 500), 2) &amp; " mL de SF 0,9% infundir em 5 minutos. | Dose de infusão contínua =&gt; Administrar " &amp; ROUND((B2 * 5 * 24) / 500, 2) &amp; " mL de salbutamol diluido em  " &amp; ROUND(50 - ((B2 * 5 * 24) / 500), 2) &amp; " mL de SF 0,9% infundir a " &amp; ROUND(50 / 24, 1) &amp; " mL/hora em BIC - Por 24 horas."</f>
        <v>Dose de ataque =&gt; Administrar 0,3 mL de salbutamol diluido em  9,7 mL de SF 0,9% infundir em 5 minutos. | Dose de infusão contínua =&gt; Administrar 2,4 mL de salbutamol diluido em  47,6 mL de SF 0,9% infundir a 2,1 mL/hora em BIC - Por 24 horas.</v>
      </c>
      <c r="D154" s="25"/>
      <c r="E154" s="27"/>
      <c r="F154" s="27"/>
    </row>
    <row r="155" spans="1:6" ht="27.75" x14ac:dyDescent="0.2">
      <c r="A155" s="84" t="s">
        <v>170</v>
      </c>
      <c r="B155" s="55" t="str">
        <f>"Administrar "&amp;ROUND((B2 * 0.2 * 24) / 100, 2) &amp; " mL de dexmedetomidina + " &amp; ROUND(150 - ((B2 * 0.2 * 24) / 100), 2) &amp; " mL de SF 0,9% | Administrar a " &amp; ROUND(150 / 24, 1) &amp; " mL/hora em BIC - Por 24 horas."</f>
        <v>Administrar 0,48 mL de dexmedetomidina + 149,52 mL de SF 0,9% | Administrar a 6,3 mL/hora em BIC - Por 24 horas.</v>
      </c>
      <c r="D155" s="25"/>
      <c r="E155" s="27"/>
      <c r="F155" s="171"/>
    </row>
    <row r="156" spans="1:6" x14ac:dyDescent="0.2">
      <c r="A156" s="170" t="s">
        <v>171</v>
      </c>
      <c r="B156" s="59" t="s">
        <v>172</v>
      </c>
      <c r="C156" s="65" t="s">
        <v>173</v>
      </c>
      <c r="D156" s="59" t="s">
        <v>174</v>
      </c>
      <c r="E156" s="59" t="s">
        <v>175</v>
      </c>
      <c r="F156" s="27"/>
    </row>
    <row r="157" spans="1:6" ht="27.75" x14ac:dyDescent="0.2">
      <c r="A157" s="117" t="s">
        <v>176</v>
      </c>
      <c r="B157" s="45" t="str">
        <f>"SG5%: "&amp;ROUND(((100*B2)*(50-10))/45,1)&amp;" ML | GH50%: "&amp;ROUND(((100*B2)*(10-5))/45,1)&amp;" ML | NaCl 20%: "&amp;ROUND((B2*2)/3.4,1)&amp;" ML | KCl 19,1%: "&amp;ROUND((B2*2)/2.5,1)&amp;" ML | GLUCA 10%: "&amp;ROUND((B2*1)/0.5,1)&amp;" ML | BIC: "&amp;ROUND(((((100*B2)*(50-10))/45)+(((100*B2)*(10-5))/45)+((B2*2)/3.4)+((B2*2)/2.5)+((B2*1)/0.5))/24,0)&amp;" ML/H"</f>
        <v>SG5%: 888,9 ML | GH50%: 111,1 ML | NaCl 20%: 5,9 ML | KCl 19,1%: 8 ML | GLUCA 10%: 20 ML | BIC: 43 ML/H</v>
      </c>
      <c r="C157" s="129" t="str">
        <f>"SG5%: "&amp;ROUND(0.8*((100*B2)*(50-10)/45),1)&amp;" ML | GH50%: "&amp;ROUND(0.8*((100*B2)*(10-5)/45),1)&amp;" ML | NaCl 20%: "&amp;ROUND(0.8*((B2*2)/3.4),1)&amp;" ML | KCl 19,1%: "&amp;ROUND(0.8*((B2*2)/2.5),1)&amp;" ML | GLUCA 10%: "&amp;ROUND(0.8*((B2*1)/0.5),1)&amp;" ML | BIC: "&amp;ROUND(0.8*((((100*B2)*(50-10))/45)+(((100*B2)*(10-5))/45)+((B2*2)/3.4)+((B2*2)/2.5)+((B2*1)/0.5))/24,0)&amp;" ML/H"</f>
        <v>SG5%: 711,1 ML | GH50%: 88,9 ML | NaCl 20%: 4,7 ML | KCl 19,1%: 6,4 ML | GLUCA 10%: 16 ML | BIC: 34 ML/H</v>
      </c>
      <c r="D157" s="45" t="str">
        <f>"SG5%: "&amp;ROUND(0.5*((100*B2)*(50-10)/45),1)&amp;" ML | GH50%: "&amp;ROUND(0.5*((100*B2)*(10-5)/45),1)&amp;" ML | NaCl 20%: "&amp;ROUND(0.5*((B2*2)/3.4),1)&amp;" ML | KCl 19,1%: "&amp;ROUND(0.5*((B2*2)/2.5),1)&amp;" ML | GLUCA 10%: "&amp;ROUND(0.5*((B2*1)/0.5),1)&amp;" ML | BIC: "&amp;ROUND(0.5*((((100*B2)*(50-10))/45)+(((100*B2)*(10-5))/45)+((B2*2)/3.4)+((B2*2)/2.5)+((B2*1)/0.5))/24,0)&amp;" ML/H"</f>
        <v>SG5%: 444,4 ML | GH50%: 55,6 ML | NaCl 20%: 2,9 ML | KCl 19,1%: 4 ML | GLUCA 10%: 10 ML | BIC: 22 ML/H</v>
      </c>
      <c r="E157" s="45" t="str">
        <f>"SG5%: "&amp;ROUND(0.3*((100*B2)*(50-10)/45),1)&amp;" ML | GH50%: "&amp;ROUND(0.3*((100*B2)*(10-5)/45),1)&amp;" ML | NaCl 20%: "&amp;ROUND(0.3*((B2*2)/3.4),1)&amp;" ML | KCl 19,1%: "&amp;ROUND(0.3*((B2*2)/2.5),1)&amp;" ML | GLUCA 10%: "&amp;ROUND(0.3*((B2*1)/0.3),1)&amp;" ML | BIC: "&amp;ROUND(0.3*((((100*B2)*(50-10))/45)+(((100*B2)*(10-5))/45)+((B2*2)/3.4)+((B2*2)/2.5)+((B2*1)/0.3))/24,0)&amp;" ML/H"</f>
        <v>SG5%: 266,7 ML | GH50%: 33,3 ML | NaCl 20%: 1,8 ML | KCl 19,1%: 2,4 ML | GLUCA 10%: 10 ML | BIC: 13 ML/H</v>
      </c>
      <c r="F157" s="27"/>
    </row>
    <row r="158" spans="1:6" x14ac:dyDescent="0.2">
      <c r="A158" s="170" t="s">
        <v>177</v>
      </c>
      <c r="B158" s="59" t="s">
        <v>178</v>
      </c>
      <c r="C158" s="65" t="s">
        <v>179</v>
      </c>
      <c r="D158" s="59" t="s">
        <v>180</v>
      </c>
      <c r="E158" s="59" t="s">
        <v>181</v>
      </c>
      <c r="F158" s="27"/>
    </row>
    <row r="159" spans="1:6" x14ac:dyDescent="0.2">
      <c r="A159" s="117" t="s">
        <v>182</v>
      </c>
      <c r="B159" s="45" t="str">
        <f>ROUND(IF(B2&lt;=10,B2*100,IF(B2&lt;=20,1000+(B2-10)*50,1500+(B2-20)*20))/250,0)*250&amp;" ML SG5% |"&amp;ROUND((136*ROUND(IF(B2&lt;=10,B2*100,IF(B2&lt;=20,1000+(B2-10)*50,1500+(B2-20)*20))/250,0)*250)/1000/3.4,1)&amp;" ML NaCl 20% |"&amp;ROUND((25*ROUND(IF(B2&lt;=10,B2*100,IF(B2&lt;=20,1000+(B2-10)*50,1500+(B2-20)*20))/250,0)*250)/1000/1.5,1)&amp;" ML KCl 15% |"&amp;ROUND(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1000 ML SG5% |40 ML NaCl 20% |16,7 ML KCl 15% |44 ML/H BIC</v>
      </c>
      <c r="C159" s="130" t="str">
        <f>ROUND(0.8*ROUND(IF(B2&lt;=10,B2*100,IF(B2&lt;=20,1000+(B2-10)*50,1500+(B2-20)*20))/250,0)*250,0)&amp;" ML SG5% |"&amp;ROUND(0.8*(136*ROUND(IF(B2&lt;=10,B2*100,IF(B2&lt;=20,1000+(B2-10)*50,1500+(B2-20)*20))/250,0)*250)/1000/3.4,1)&amp;" ML NaCl 20% |"&amp;ROUND(0.8*(25*ROUND(IF(B2&lt;=10,B2*100,IF(B2&lt;=20,1000+(B2-10)*50,1500+(B2-20)*20))/250,0)*250)/1000/1.5,1)&amp;" ML KCl 15% |"&amp;ROUND(0.8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800 ML SG5% |32 ML NaCl 20% |13,3 ML KCl 15% |35 ML/H BIC</v>
      </c>
      <c r="D159" s="28" t="str">
        <f>ROUND(0.5*ROUND(IF(B2&lt;=10,B2*100,IF(B2&lt;=20,1000+(B2-10)*50,1500+(B2-20)*20))/250,0)*250,0)&amp;" ML SG5% |"&amp;ROUND(0.5*(136*ROUND(IF(B2&lt;=10,B2*100,IF(B2&lt;=20,1000+(B2-10)*50,1500+(B2-20)*20))/250,0)*250)/1000/3.4,1)&amp;" ML NaCl 20% |"&amp;ROUND(0.5*(25*ROUND(IF(B2&lt;=10,B2*100,IF(B2&lt;=20,1000+(B2-10)*50,1500+(B2-20)*20))/250,0)*250)/1000/1.5,1)&amp;" ML KCl 15% |"&amp;ROUND(0.5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500 ML SG5% |20 ML NaCl 20% |8,3 ML KCl 15% |22 ML/H BIC</v>
      </c>
      <c r="E159" s="28" t="str">
        <f>ROUND(0.3*ROUND(IF(B2&lt;=10,B2*100,IF(B2&lt;=20,1000+(B2-10)*50,1500+(B2-20)*20))/250,0)*250,0)&amp;" ML SG5% |"&amp;ROUND(0.3*(136*ROUND(IF(B2&lt;=10,B2*100,IF(B2&lt;=20,1000+(B2-10)*50,1500+(B2-20)*20))/250,0)*250)/1000/3.4,1)&amp;" ML NaCl 20% |"&amp;ROUND(0.3*(25*ROUND(IF(B2&lt;=10,B2*100,IF(B2&lt;=20,1000+(B2-10)*50,1500+(B2-20)*20))/250,0)*250)/1000/1.5,1)&amp;" ML KCl 15% |"&amp;ROUND(0.3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300 ML SG5% |12 ML NaCl 20% |5 ML KCl 15% |13 ML/H BIC</v>
      </c>
      <c r="F159" s="27"/>
    </row>
    <row r="160" spans="1:6" x14ac:dyDescent="0.2">
      <c r="A160" s="170" t="s">
        <v>183</v>
      </c>
      <c r="B160" s="60"/>
      <c r="C160" s="131"/>
      <c r="D160" s="59"/>
      <c r="E160" s="60"/>
      <c r="F160" s="27"/>
    </row>
    <row r="161" spans="1:5" ht="27.75" x14ac:dyDescent="0.2">
      <c r="A161" s="109" t="s">
        <v>184</v>
      </c>
      <c r="B161" s="55" t="str">
        <f>"Administrar "&amp;ROUND(IF(B2&lt;=20, B2*0.1/0.4, 2/0.4), 2) &amp; " mL IM/IV/SUBCUTÂNEO pode ser repetido a cada 3 minutos se necessário."</f>
        <v>Administrar 2,5 mL IM/IV/SUBCUTÂNEO pode ser repetido a cada 3 minutos se necessário.</v>
      </c>
      <c r="D161" s="25"/>
      <c r="E161" s="27"/>
    </row>
    <row r="162" spans="1:5" ht="27.75" x14ac:dyDescent="0.2">
      <c r="A162" s="57" t="s">
        <v>185</v>
      </c>
      <c r="B162" s="55" t="str">
        <f>"Administrar "&amp;ROUND(IF(B2&lt;=20, B2*0.1/1, 2/1), 2) &amp; " mL IM/IV/SUBCUTÂNEO pode ser repetido a cada 3 minutos se necessário."</f>
        <v>Administrar 1 mL IM/IV/SUBCUTÂNEO pode ser repetido a cada 3 minutos se necessário.</v>
      </c>
      <c r="D162" s="25"/>
      <c r="E162" s="171"/>
    </row>
    <row r="163" spans="1:5" ht="47.25" customHeight="1" x14ac:dyDescent="0.2">
      <c r="A163" s="57" t="s">
        <v>186</v>
      </c>
      <c r="B163" s="55" t="str">
        <f>"Administrar "&amp;ROUND(IF(B2*0.01&lt;=0.2, B2*0.01/0.1, 0.2/0.1), 2) &amp; " mL infundido por 15 segundos. Pode ser repetido " &amp; ROUND(IF(B2*0.01&lt;=0.2, B2*0.01/0.1, 0.2/0.1), 2) &amp; " mL após 45 segundos e a cada minuto. Dose cumulativa maxima " &amp; ROUND(IF(B2*0.05&lt;=1, B2*0.05/0.1, 1/0.1), 2) &amp; " mL"</f>
        <v>Administrar 1 mL infundido por 15 segundos. Pode ser repetido 1 mL após 45 segundos e a cada minuto. Dose cumulativa maxima 5 mL</v>
      </c>
      <c r="C163" s="48"/>
      <c r="D163" s="48"/>
      <c r="E163" s="27"/>
    </row>
    <row r="164" spans="1:5" x14ac:dyDescent="0.2">
      <c r="A164" s="112" t="s">
        <v>187</v>
      </c>
      <c r="B164" s="64"/>
      <c r="C164" s="48"/>
      <c r="D164" s="48"/>
      <c r="E164" s="27"/>
    </row>
    <row r="165" spans="1:5" ht="41.25" x14ac:dyDescent="0.2">
      <c r="A165" s="85" t="s">
        <v>188</v>
      </c>
      <c r="B165" s="55" t="str">
        <f>"Diluir "&amp;ROUNDUP(IF((B2*0.13)&lt;=5,(B2*0.13)/0.125,5/0.125),0)&amp;" gotas + 3 mL de SF 0,9%, realizar nebulização por 20 minutos. Nos casos agudos e/ou de exacerbação do broncoespasmo, utilizar a solução (por nebulização) a cada 20 minutos até estabilização do quadro."</f>
        <v>Diluir 11 gotas + 3 mL de SF 0,9%, realizar nebulização por 20 minutos. Nos casos agudos e/ou de exacerbação do broncoespasmo, utilizar a solução (por nebulização) a cada 20 minutos até estabilização do quadro.</v>
      </c>
      <c r="C165" s="48"/>
      <c r="D165" s="48"/>
      <c r="E165" s="27"/>
    </row>
    <row r="166" spans="1:5" x14ac:dyDescent="0.2">
      <c r="A166" s="56" t="s">
        <v>189</v>
      </c>
      <c r="B166" s="55" t="str">
        <f>"Administrar " &amp;IF(B1&lt;6,"Contraindicado", IF(AND(B1&gt;=6,B1&lt;=12),"2 puffs por via inalatória de 12/12 horas. Agite o frasco antes de usar. Inspire profundamente ao pressionar o frasco e segure a respiração. Enxague a boca após o uso.", "4 puffs por via inalatória de 12/12 horas. Agite o frasco antes de usar. Inspire profundamente ao pressionar o frasco e segure a respiração. Enxague a boca após o uso."))</f>
        <v>Administrar Contraindicado</v>
      </c>
      <c r="C166" s="48"/>
      <c r="D166" s="48"/>
      <c r="E166" s="27"/>
    </row>
    <row r="167" spans="1:5" ht="54.75" x14ac:dyDescent="0.2">
      <c r="A167" s="85" t="s">
        <v>190</v>
      </c>
      <c r="B167" s="55" t="str">
        <f>"Aplicar "&amp;ROUNDUP(MIN(B2/3,10),0)&amp;" jatos (puffs), por via inalatória, de 6/6 horas. "&amp;IF(B1&lt;4,"Com o uso de espaçador + máscara facial.","Sem necessidade de máscara facial.")&amp;" Observação: Nos casos agudos e/ou de exacerbação do broncoespasmo, repetir a dose inalatória a cada 20 minutos até estabilização do quadro."</f>
        <v>Aplicar 4 jatos (puffs), por via inalatória, de 6/6 horas. Com o uso de espaçador + máscara facial. Observação: Nos casos agudos e/ou de exacerbação do broncoespasmo, repetir a dose inalatória a cada 20 minutos até estabilização do quadro.</v>
      </c>
      <c r="C167" s="142"/>
      <c r="D167" s="48"/>
      <c r="E167" s="27"/>
    </row>
    <row r="168" spans="1:5" ht="27.75" x14ac:dyDescent="0.2">
      <c r="A168" s="85" t="s">
        <v>191</v>
      </c>
      <c r="B168" s="55" t="str">
        <f>"Diluir " &amp; ROUND(IF(B2 / 2 &lt;= 10, B2 / 2, 10), 0) &amp; " gotas + 3 mL de SF 0,9% e realizar nebulização, inalando até a solução ser totalmente consumida."</f>
        <v>Diluir 5 gotas + 3 mL de SF 0,9% e realizar nebulização, inalando até a solução ser totalmente consumida.</v>
      </c>
      <c r="D168" s="25"/>
      <c r="E168" s="171"/>
    </row>
    <row r="169" spans="1:5" ht="54.75" x14ac:dyDescent="0.2">
      <c r="A169" s="145" t="s">
        <v>192</v>
      </c>
      <c r="B169" s="143" t="str">
        <f>"Diluir "&amp;ROUNDDOWN(MIN(B2,20),0)&amp;" gotas + 3 mL de SF 0,9% e realizar nebulização, inalando até a solução ser totalmente consumida, de 6/6 horas. Nos casos agudos e/ou de exacerbação do broncoespasmo, utilizar a solução (por nebulização) a cada 20 minutos até estabilização do quadro."</f>
        <v>Diluir 10 gotas + 3 mL de SF 0,9% e realizar nebulização, inalando até a solução ser totalmente consumida, de 6/6 horas. Nos casos agudos e/ou de exacerbação do broncoespasmo, utilizar a solução (por nebulização) a cada 20 minutos até estabilização do quadro.</v>
      </c>
      <c r="D169" s="25"/>
      <c r="E169" s="171"/>
    </row>
    <row r="170" spans="1:5" x14ac:dyDescent="0.2">
      <c r="A170" s="144" t="s">
        <v>193</v>
      </c>
      <c r="B170" s="143" t="str">
        <f>IF(B1&gt;12,"Aerossol: Realizar 2 inalações de 12/12 horas; Disco: Realizar 1 inalação de 12/12 horas.",IF(B1&gt;4,"Aerossol: Realizar 2 inalações de 12/12 horas; Disco: Realizar 1 inalação de 12/12 horas.", "Idade inferior a 4 anos, uso não indicado."))</f>
        <v>Idade inferior a 4 anos, uso não indicado.</v>
      </c>
      <c r="D170" s="25"/>
      <c r="E170" s="171"/>
    </row>
    <row r="171" spans="1:5" ht="27.75" x14ac:dyDescent="0.2">
      <c r="A171" s="56" t="s">
        <v>194</v>
      </c>
      <c r="B171" s="139" t="str">
        <f>IF(B1&lt;0.5,"Contraindicado para pacientes abaixo de 6 meses de vida.", "Dar 1 sachê ao dia em jejum por 10 dias consecutivos. Fazer intervalo de 20 dias e retornar por mais 10 dias. Repetir o ciclo por 3 meses seguidos.")</f>
        <v>Dar 1 sachê ao dia em jejum por 10 dias consecutivos. Fazer intervalo de 20 dias e retornar por mais 10 dias. Repetir o ciclo por 3 meses seguidos.</v>
      </c>
      <c r="D171" s="25"/>
      <c r="E171" s="171"/>
    </row>
    <row r="172" spans="1:5" x14ac:dyDescent="0.2">
      <c r="A172" s="102" t="s">
        <v>195</v>
      </c>
      <c r="B172" s="60"/>
      <c r="D172" s="25"/>
      <c r="E172" s="171"/>
    </row>
    <row r="173" spans="1:5" x14ac:dyDescent="0.2">
      <c r="A173" s="87" t="s">
        <v>196</v>
      </c>
      <c r="B173" s="55" t="str">
        <f>"Dar "&amp;IF(B1&gt;=5, "1 flaconete por via oral uma vez ao dia", "1 flaconete por via oral uma vez ao dia.")</f>
        <v>Dar 1 flaconete por via oral uma vez ao dia.</v>
      </c>
      <c r="D173" s="25"/>
      <c r="E173" s="171"/>
    </row>
    <row r="174" spans="1:5" x14ac:dyDescent="0.2">
      <c r="A174" s="57" t="s">
        <v>197</v>
      </c>
      <c r="B174" s="55" t="str">
        <f>"Tomar "&amp;ROUND(B2 * IF(B1&lt;5, 5, 10), 0) &amp; " mL SRO 0,9% de reidratação oral, tomar de 4 em 4 horas."</f>
        <v>Tomar 50 mL SRO 0,9% de reidratação oral, tomar de 4 em 4 horas.</v>
      </c>
      <c r="D174" s="25"/>
      <c r="E174" s="171"/>
    </row>
    <row r="175" spans="1:5" x14ac:dyDescent="0.2">
      <c r="A175" s="57" t="s">
        <v>198</v>
      </c>
      <c r="B175" s="55" t="str">
        <f>"Tomar "&amp;IF(B1&lt;6, ROUND(10 / (10 / 2.5), 2), ROUND(20 / (10 / 2.5), 2)) &amp; " mL de xarope de zinco, uma vez por dia. Por 7 dias."</f>
        <v>Tomar 2,5 mL de xarope de zinco, uma vez por dia. Por 7 dias.</v>
      </c>
      <c r="D175" s="25"/>
      <c r="E175" s="171"/>
    </row>
    <row r="176" spans="1:5" x14ac:dyDescent="0.2">
      <c r="A176" s="57" t="s">
        <v>199</v>
      </c>
      <c r="B176" s="55" t="str">
        <f>"Dar "&amp;IF(B1&gt;=5, "1 flaconete por via oral uma vez ao dia. Por 7 dias.", "1 flaconete por via oral uma vez ao dia. Por 7 dias.")</f>
        <v>Dar 1 flaconete por via oral uma vez ao dia. Por 7 dias.</v>
      </c>
      <c r="D176" s="25"/>
      <c r="E176" s="171"/>
    </row>
    <row r="177" spans="1:4" ht="27.75" x14ac:dyDescent="0.2">
      <c r="A177" s="57" t="s">
        <v>200</v>
      </c>
      <c r="B177" s="55" t="str">
        <f>IF(B1&gt;18, "100 mg Tomar 1 sachê de 100 mg por via oral de 8/8 horas. Por no máximo 7 dias.", IF(B2&lt;=25, "10 mg Tomar 1 sachê de 10 mg por via oral de 8/8 horas. Por no máximo 7 dias.", "30 mg Tomar 1 sachê de 30 mg por via oral de 8/8 horas. Por no máximo 7 dias."))</f>
        <v>10 mg Tomar 1 sachê de 10 mg por via oral de 8/8 horas. Por no máximo 7 dias.</v>
      </c>
      <c r="D177" s="25"/>
    </row>
    <row r="178" spans="1:4" x14ac:dyDescent="0.2">
      <c r="A178" s="102" t="s">
        <v>201</v>
      </c>
      <c r="B178" s="60"/>
      <c r="D178" s="25"/>
    </row>
    <row r="179" spans="1:4" ht="27.75" x14ac:dyDescent="0.2">
      <c r="A179" s="57" t="s">
        <v>202</v>
      </c>
      <c r="B179" s="55" t="str">
        <f>"Tomar "&amp;ROUNDDOWN(MIN(B2*0.5,60)/3,1)&amp;" mL por via oral de 8/8 horas. (Observação: 1 frasco contém 120 mL)."</f>
        <v>Tomar 1,6 mL por via oral de 8/8 horas. (Observação: 1 frasco contém 120 mL).</v>
      </c>
      <c r="D179" s="25"/>
    </row>
    <row r="180" spans="1:4" ht="45.75" customHeight="1" x14ac:dyDescent="0.2">
      <c r="A180" s="104" t="s">
        <v>203</v>
      </c>
      <c r="B180" s="55" t="str">
        <f>IF(B2&lt;11,"Contraindicado","Administrar "&amp;IF(B2&lt;=22,"33",IF(B2&lt;=43,"66","100"))&amp;" mL por via retal. Observação: Orientar a criança ou responsável para reter a solução por cerca de 2 a 5 minutos antes da evacuação.")</f>
        <v>Contraindicado</v>
      </c>
      <c r="C180" s="27"/>
      <c r="D180" s="25"/>
    </row>
    <row r="181" spans="1:4" x14ac:dyDescent="0.2">
      <c r="A181" s="57" t="s">
        <v>204</v>
      </c>
      <c r="B181" s="55" t="str">
        <f>IF(B1&lt;2,"Contraindicado",IF(B1&lt;=5,"Tomar 5 a 15 mL por via oral, uma vez ao dia, preferencialmente à noite.",IF(B1&lt;=11,"Tomar 15 a 30 mL por via oral, uma vez ao dia, preferencialmente à noite.",IF(B1&gt;=12,"Tomar 30 a 60 mL por via oral, uma vez ao dia, preferencialmente à noite.", "Idade inválida"))))</f>
        <v>Contraindicado</v>
      </c>
      <c r="C181" s="27"/>
      <c r="D181" s="25"/>
    </row>
    <row r="182" spans="1:4" ht="27.75" x14ac:dyDescent="0.2">
      <c r="A182" s="104" t="s">
        <v>205</v>
      </c>
      <c r="B182" s="55" t="str">
        <f>"Dissolver " &amp; ROUNDUP(IF(B2*1&gt;28,28,B2*1)/14,0) &amp; " sachê(s) com " &amp; ROUNDUP(IF(B2*1&gt;28,28,B2*1)/14,0)*100 &amp; " mL de água filtrada. Ingerir " &amp; ROUNDUP(IF(B2*1&gt;28,28,B2*1)/0.14,0) &amp; " mL da solução por via oral. Uma vez ao dia."</f>
        <v>Dissolver 1 sachê(s) com 100 mL de água filtrada. Ingerir 72 mL da solução por via oral. Uma vez ao dia.</v>
      </c>
      <c r="C182" s="27"/>
      <c r="D182" s="25"/>
    </row>
    <row r="183" spans="1:4" ht="41.25" x14ac:dyDescent="0.2">
      <c r="A183" s="57" t="s">
        <v>206</v>
      </c>
      <c r="B183" s="55" t="str">
        <f>IF(B2&lt;1,"Contraindicado para crianças menores de 1 ano.", "Tomar "&amp;ROUND(MIN(B2*0.5,22.5),1)&amp;" mL do óleo mineral puro por via oral de 12/12 horas. De preferência em jejum ou entre as refeições para melhores resultados. Observação: Evitar a ingestão noturna.")</f>
        <v>Tomar 5 mL do óleo mineral puro por via oral de 12/12 horas. De preferência em jejum ou entre as refeições para melhores resultados. Observação: Evitar a ingestão noturna.</v>
      </c>
      <c r="C183" s="27"/>
      <c r="D183" s="25"/>
    </row>
    <row r="184" spans="1:4" ht="27.75" x14ac:dyDescent="0.2">
      <c r="A184" s="57" t="s">
        <v>207</v>
      </c>
      <c r="B184" s="55" t="str">
        <f>IF(B1&lt;2,"Contraindicado", "Utilizar "&amp;MIN(B2*10,500)&amp;" mL por via retal. Orientar o paciente a reter a substância por 2 minutos ou até sentir a vontade de evacuar.")</f>
        <v>Contraindicado</v>
      </c>
      <c r="C184" s="27"/>
      <c r="D184" s="25"/>
    </row>
    <row r="185" spans="1:4" x14ac:dyDescent="0.2">
      <c r="A185" s="57" t="s">
        <v>208</v>
      </c>
      <c r="B185" s="55" t="str">
        <f>IF(B1&lt;2,"Contraindicado", "Tomar "&amp;MIN(B2*1.4/2,40/2)&amp;" mL por via oral de 12/12 horas. Por 3 a 5 dias, ou até evacuar.")</f>
        <v>Contraindicado</v>
      </c>
      <c r="C185" s="27"/>
      <c r="D185" s="25"/>
    </row>
    <row r="186" spans="1:4" x14ac:dyDescent="0.2">
      <c r="A186" s="170" t="s">
        <v>209</v>
      </c>
      <c r="B186" s="60"/>
      <c r="C186" s="27"/>
      <c r="D186" s="25"/>
    </row>
    <row r="187" spans="1:4" ht="41.25" x14ac:dyDescent="0.2">
      <c r="A187" s="109" t="s">
        <v>210</v>
      </c>
      <c r="B187" s="55" t="str">
        <f>"Diluir "&amp;ROUNDDOWN(MIN(MIN(B2*10,1000)/50,20),1)&amp;" mL + "&amp;IF(ROUNDDOWN(MIN(MIN(B2*10,1000)/50,20),1)&lt;=5,"50","100")&amp;" mL de SF 0,9% ou SG 5%. Administrar de 8/8 horas. Infundir a "&amp;ROUNDDOWN((ROUNDDOWN(MIN(MIN(B2*10,1000)/50,20),1)+IF(ROUNDDOWN(MIN(MIN(B2*10,1000)/50,20),1)&lt;=5,50,100))/(50/60),2)&amp;" mL/hora por via EV. (Observação: A administração endovenosa deverá ser o mais lenta possível)."</f>
        <v>Diluir 2 mL + 50 mL de SF 0,9% ou SG 5%. Administrar de 8/8 horas. Infundir a 62,4 mL/hora por via EV. (Observação: A administração endovenosa deverá ser o mais lenta possível).</v>
      </c>
      <c r="C187" s="27"/>
      <c r="D187" s="25"/>
    </row>
    <row r="188" spans="1:4" x14ac:dyDescent="0.2">
      <c r="A188" s="170" t="s">
        <v>211</v>
      </c>
      <c r="B188" s="60"/>
      <c r="C188" s="27"/>
      <c r="D188" s="25"/>
    </row>
    <row r="189" spans="1:4" ht="27.75" x14ac:dyDescent="0.2">
      <c r="A189" s="57" t="s">
        <v>212</v>
      </c>
      <c r="B189" s="28" t="str">
        <f>IF(B1&lt;=6,"Crianças até 6 anos de idade: Tomar 6 gotas por via oral uma vez ao dia. Todos os dias.", "Crianças acima de 6 anos de idade: Tomar 12 gotas por via oral uma vez ao dia. Todos os dias.")</f>
        <v>Crianças até 6 anos de idade: Tomar 6 gotas por via oral uma vez ao dia. Todos os dias.</v>
      </c>
      <c r="C189" s="27"/>
      <c r="D189" s="25"/>
    </row>
    <row r="190" spans="1:4" ht="22.5" customHeight="1" x14ac:dyDescent="0.2">
      <c r="A190" s="110" t="s">
        <v>213</v>
      </c>
      <c r="B190" s="28" t="str">
        <f>"Tomar "&amp;ROUNDUP(MIN(B2*3/100*20,120/100*20),0)&amp;" gotas por via oral uma vez ao dia."</f>
        <v>Tomar 6 gotas por via oral uma vez ao dia.</v>
      </c>
      <c r="C190" s="27"/>
      <c r="D190" s="25"/>
    </row>
    <row r="191" spans="1:4" x14ac:dyDescent="0.2">
      <c r="A191" s="118" t="s">
        <v>214</v>
      </c>
      <c r="B191" s="60"/>
      <c r="C191" s="27"/>
      <c r="D191" s="25"/>
    </row>
    <row r="192" spans="1:4" x14ac:dyDescent="0.2">
      <c r="A192" s="104" t="s">
        <v>215</v>
      </c>
      <c r="B192" s="28" t="str">
        <f>IF(B2&lt;1,"Contraindicado","Tomar "&amp;TEXT((B2*7.5)/20,"0,0")&amp;" mL por via oral de 12/12 horas. Por 3 dias.")</f>
        <v>Tomar 3,8 mL por via oral de 12/12 horas. Por 3 dias.</v>
      </c>
      <c r="C192" s="27"/>
      <c r="D192" s="25"/>
    </row>
    <row r="193" spans="1:4" x14ac:dyDescent="0.2">
      <c r="A193" s="57" t="s">
        <v>216</v>
      </c>
      <c r="B193" s="55" t="str">
        <f>IF(B1&lt;2,"Contraindicado.", "Tomar "&amp;ROUNDUP(400/40,0)&amp;" mL por via oral. Dose única ou a cada 24/24 horas. Por 3 a 5 dias.")</f>
        <v>Contraindicado.</v>
      </c>
      <c r="C193" s="27"/>
      <c r="D193" s="25"/>
    </row>
    <row r="194" spans="1:4" x14ac:dyDescent="0.2">
      <c r="A194" s="104" t="s">
        <v>217</v>
      </c>
      <c r="B194" s="55" t="str">
        <f>"Tomar "&amp;IF(B2&lt;=24, "½ cp por via oral. Dose única", IF(B2&lt;=35, "1 cp por via oral. Dose única", IF(B2&lt;=50, "1½ cp por via oral. Dose única", IF(B2&lt;=65, "2 cp por via oral. Dose única", IF(B2&lt;=79, "2½ cp por via oral. Dose única", "3 cp por via oral. Dose única")))))</f>
        <v>Tomar ½ cp por via oral. Dose única</v>
      </c>
      <c r="C194" s="27"/>
      <c r="D194" s="25"/>
    </row>
    <row r="195" spans="1:4" x14ac:dyDescent="0.2">
      <c r="A195" s="119" t="s">
        <v>218</v>
      </c>
      <c r="B195" s="141" t="str">
        <f>IF(B2&lt;1,"Contraindicado",IF(B2&lt;2," ", "Tomar 5 mL por via oral de 12/12 horas. Por 3 dias."))</f>
        <v>Tomar 5 mL por via oral de 12/12 horas. Por 3 dias.</v>
      </c>
      <c r="C195" s="147" t="s">
        <v>219</v>
      </c>
      <c r="D195" s="25"/>
    </row>
    <row r="196" spans="1:4" ht="33" customHeight="1" x14ac:dyDescent="0.2">
      <c r="A196" s="57" t="s">
        <v>220</v>
      </c>
      <c r="B196" s="141" t="str">
        <f>IF(B2&lt;10,"Não recomendado", "Tomar "&amp;MIN(B2*1,60)&amp;" mL por via oral em dose única diária. Recomenda-se a repetição da dose cerca de 2 semanas após a primeira administração.")</f>
        <v>Tomar 10 mL por via oral em dose única diária. Recomenda-se a repetição da dose cerca de 2 semanas após a primeira administração.</v>
      </c>
      <c r="C196" s="147" t="s">
        <v>221</v>
      </c>
      <c r="D196" s="33"/>
    </row>
    <row r="197" spans="1:4" ht="27.75" x14ac:dyDescent="0.2">
      <c r="A197" s="57" t="s">
        <v>222</v>
      </c>
      <c r="B197" s="28" t="str">
        <f>"Tomar "&amp;ROUNDUP(MIN(B2*30/30,2000/30),2)&amp;" mL por via oral uma vez ao dia, preferencialmente à noite, após o jantar. Em dose única ou Por 5 a 7 dias."</f>
        <v>Tomar 10 mL por via oral uma vez ao dia, preferencialmente à noite, após o jantar. Em dose única ou Por 5 a 7 dias.</v>
      </c>
      <c r="C197" s="27"/>
      <c r="D197" s="25"/>
    </row>
    <row r="198" spans="1:4" x14ac:dyDescent="0.2">
      <c r="A198" s="120" t="s">
        <v>223</v>
      </c>
      <c r="B198" s="60"/>
      <c r="C198" s="27"/>
      <c r="D198" s="25"/>
    </row>
    <row r="199" spans="1:4" ht="27.75" x14ac:dyDescent="0.2">
      <c r="A199" s="57" t="s">
        <v>224</v>
      </c>
      <c r="B199" s="55" t="str">
        <f>"Utilizar "&amp;ROUNDDOWN(MIN(B2*0.5,3),2)&amp;" mL de adrenalina 1 mg/mL diluída em 3 mL de SF 0,9% por nebulização. Pode ser repetido a cada 20 minutos até 3 vezes em 1 hora."</f>
        <v>Utilizar 3 mL de adrenalina 1 mg/mL diluída em 3 mL de SF 0,9% por nebulização. Pode ser repetido a cada 20 minutos até 3 vezes em 1 hora.</v>
      </c>
      <c r="C199" s="27"/>
      <c r="D199" s="25"/>
    </row>
    <row r="200" spans="1:4" x14ac:dyDescent="0.2">
      <c r="A200" s="84" t="s">
        <v>225</v>
      </c>
      <c r="B200" s="55" t="str">
        <f>"Utilizar "&amp;IF(B1&lt;18,"3 a 5 mL de água destilada pura","3 a 5 mL de água destilada pura ou conforme orientação médica")&amp;" por nebulização."</f>
        <v>Utilizar 3 a 5 mL de água destilada pura por nebulização.</v>
      </c>
      <c r="C200" s="27"/>
      <c r="D200" s="25"/>
    </row>
    <row r="201" spans="1:4" ht="27.75" x14ac:dyDescent="0.2">
      <c r="A201" s="84" t="s">
        <v>226</v>
      </c>
      <c r="B201" s="55" t="str">
        <f>IF(B1&lt;1,"Utilizar 1 a 2 mL de NaCl 20% diluído em 1 a 2 mL de SF 0,9%. Nebulização de 8/8 horas. Pode repetir de 20/20 minutos até 3 vezes em 1 hora.",
IF(B1&lt;18,"Utilizar 3 mL de NaCl 20% puro ou diluído em SF 0,9%. Nebulização de 8/8 horas. Pode repetir de 20/20 minutos até 3 vezes em 1 hora.",
"Utilizar 3 a 5 mL de NaCl 20% puro ou diluído em SF 0,9%. Nebulização de 8/8 horas. Pode repetir de 20/20 minutos até 3 vezes em 1 hora."))</f>
        <v>Utilizar 3 mL de NaCl 20% puro ou diluído em SF 0,9%. Nebulização de 8/8 horas. Pode repetir de 20/20 minutos até 3 vezes em 1 hora.</v>
      </c>
      <c r="C201" s="27"/>
      <c r="D201" s="25"/>
    </row>
    <row r="202" spans="1:4" x14ac:dyDescent="0.2">
      <c r="A202" s="118" t="s">
        <v>227</v>
      </c>
      <c r="B202" s="60"/>
      <c r="C202" s="65" t="s">
        <v>228</v>
      </c>
      <c r="D202" s="25"/>
    </row>
    <row r="203" spans="1:4" x14ac:dyDescent="0.2">
      <c r="A203" s="57" t="s">
        <v>229</v>
      </c>
      <c r="B203" s="43" t="str">
        <f>"Tomar "&amp;ROUNDUP(MIN(B2*1/5*5,30/5),1)&amp;" mL por via oral de 8/8 horas. Por 5 a 7 dias."</f>
        <v>Tomar 6 mL por via oral de 8/8 horas. Por 5 a 7 dias.</v>
      </c>
      <c r="C203" s="148" t="s">
        <v>230</v>
      </c>
      <c r="D203" s="25"/>
    </row>
    <row r="204" spans="1:4" x14ac:dyDescent="0.2">
      <c r="A204" s="57" t="s">
        <v>231</v>
      </c>
      <c r="B204" s="43" t="str">
        <f>IF(B1&lt;2,"Contraindicado para crianças menores de 2 anos.",
IF(AND(B1&gt;=2,B1&lt;=5),"Tomar 1 mL por via oral de 8/8 horas. Por 7 a 14 dias.",
IF(AND(B1&gt;=6,B1&lt;=12),"Tomar 2 mL por via oral de 8/8 horas. Por 7 a 14 dias.",
"Verificar faixa de idade adequada.")))</f>
        <v>Contraindicado para crianças menores de 2 anos.</v>
      </c>
      <c r="C204" s="148" t="s">
        <v>232</v>
      </c>
      <c r="D204" s="25"/>
    </row>
    <row r="205" spans="1:4" x14ac:dyDescent="0.2">
      <c r="A205" s="124" t="s">
        <v>233</v>
      </c>
      <c r="B205" s="43" t="str">
        <f>"Tomar "&amp;ROUNDUP(MIN(B2*2/30*5,IF(B2&lt;=30,60/30*5,180/30*5)),1)&amp;" mL por via oral de 8/8 horas. Por 5 a 7 dias."</f>
        <v>Tomar 3,4 mL por via oral de 8/8 horas. Por 5 a 7 dias.</v>
      </c>
      <c r="C205" s="148" t="s">
        <v>234</v>
      </c>
      <c r="D205" s="25"/>
    </row>
    <row r="206" spans="1:4" x14ac:dyDescent="0.2">
      <c r="A206" s="87" t="s">
        <v>235</v>
      </c>
      <c r="B206" s="43" t="str">
        <f>"Tomar "&amp;ROUNDUP(MIN(B2*20/20/3,IF(B1&lt;=5,200/20/3,300/20/3)),1)&amp;" mL por via oral de 8/8 horas por 5 a 10 dias."</f>
        <v>Tomar 3,4 mL por via oral de 8/8 horas por 5 a 10 dias.</v>
      </c>
      <c r="C206" s="148" t="s">
        <v>230</v>
      </c>
      <c r="D206" s="25"/>
    </row>
    <row r="207" spans="1:4" x14ac:dyDescent="0.2">
      <c r="A207" s="121" t="s">
        <v>236</v>
      </c>
      <c r="B207" s="99"/>
      <c r="C207" s="151" t="s">
        <v>228</v>
      </c>
      <c r="D207" s="25"/>
    </row>
    <row r="208" spans="1:4" ht="27.75" x14ac:dyDescent="0.2">
      <c r="A208" s="122" t="s">
        <v>237</v>
      </c>
      <c r="B208" s="43" t="str">
        <f>"Pingar 1 gota no(s) olho(s) afetado(s) de 4/4 horas. Ate melhora do quadro."</f>
        <v>Pingar 1 gota no(s) olho(s) afetado(s) de 4/4 horas. Ate melhora do quadro.</v>
      </c>
      <c r="C208" s="103" t="s">
        <v>238</v>
      </c>
      <c r="D208" s="25"/>
    </row>
    <row r="209" spans="1:4" x14ac:dyDescent="0.2">
      <c r="A209" s="122" t="s">
        <v>239</v>
      </c>
      <c r="B209" s="43" t="str">
        <f>"Pingar 1 gota no(s) olho(s) afetado(s) uma vez ao dia. Por 6 semanas."</f>
        <v>Pingar 1 gota no(s) olho(s) afetado(s) uma vez ao dia. Por 6 semanas.</v>
      </c>
      <c r="C209" s="103" t="s">
        <v>240</v>
      </c>
      <c r="D209" s="25"/>
    </row>
    <row r="210" spans="1:4" ht="27.75" x14ac:dyDescent="0.2">
      <c r="A210" s="122" t="s">
        <v>241</v>
      </c>
      <c r="B210" s="43" t="str">
        <f>"Pingar 1 gota no(s) olho(s) afetado(s) de 4/4 horas. Ate melhora do quadro."</f>
        <v>Pingar 1 gota no(s) olho(s) afetado(s) de 4/4 horas. Ate melhora do quadro.</v>
      </c>
      <c r="C210" s="103" t="s">
        <v>242</v>
      </c>
      <c r="D210" s="25"/>
    </row>
    <row r="211" spans="1:4" x14ac:dyDescent="0.2">
      <c r="A211" s="123" t="s">
        <v>243</v>
      </c>
      <c r="B211" s="43" t="str">
        <f>"Pingar 1 gota no(s) olho(s) afetado(s) de 4/4 horas. Por 5 dias."</f>
        <v>Pingar 1 gota no(s) olho(s) afetado(s) de 4/4 horas. Por 5 dias.</v>
      </c>
      <c r="C211" s="103" t="s">
        <v>244</v>
      </c>
      <c r="D211" s="25"/>
    </row>
    <row r="212" spans="1:4" ht="27.75" x14ac:dyDescent="0.2">
      <c r="A212" s="122" t="s">
        <v>245</v>
      </c>
      <c r="B212" s="43" t="str">
        <f>"Aplicar 1 CM da pomada, uma fina camada na região do olho afetada de 8/8 horas. Por 5 dias."</f>
        <v>Aplicar 1 CM da pomada, uma fina camada na região do olho afetada de 8/8 horas. Por 5 dias.</v>
      </c>
      <c r="C212" s="103" t="s">
        <v>244</v>
      </c>
      <c r="D212" s="25"/>
    </row>
    <row r="213" spans="1:4" x14ac:dyDescent="0.2">
      <c r="A213" s="122" t="s">
        <v>246</v>
      </c>
      <c r="B213" s="43" t="str">
        <f>"Pingar 1 gota no(s) olho(s) afetado(s) de 8/8 horas. Por 7 dias."</f>
        <v>Pingar 1 gota no(s) olho(s) afetado(s) de 8/8 horas. Por 7 dias.</v>
      </c>
      <c r="C213" s="103" t="s">
        <v>247</v>
      </c>
      <c r="D213" s="25"/>
    </row>
    <row r="214" spans="1:4" ht="27.75" x14ac:dyDescent="0.2">
      <c r="A214" s="122" t="s">
        <v>248</v>
      </c>
      <c r="B214" s="43" t="str">
        <f>"Pingar 1 gota(s) de 2/2 horas no olho acometido. Durante os primeiros 2 dias de tratamento. Seguido de 1 gota de 4/4 horas. Nos 5 dias seguintes."</f>
        <v>Pingar 1 gota(s) de 2/2 horas no olho acometido. Durante os primeiros 2 dias de tratamento. Seguido de 1 gota de 4/4 horas. Nos 5 dias seguintes.</v>
      </c>
      <c r="C214" s="148" t="s">
        <v>249</v>
      </c>
      <c r="D214" s="25"/>
    </row>
    <row r="215" spans="1:4" x14ac:dyDescent="0.2">
      <c r="A215" s="118" t="s">
        <v>250</v>
      </c>
      <c r="B215" s="99"/>
      <c r="C215" s="27"/>
      <c r="D215" s="25"/>
    </row>
    <row r="216" spans="1:4" ht="27.75" x14ac:dyDescent="0.2">
      <c r="A216" s="104" t="s">
        <v>251</v>
      </c>
      <c r="B216" s="55" t="str">
        <f>"Pingar 3 gotas de 8/8 horas no(s) ouvido(s) comprometido(s). Por 7 a 10 dias"</f>
        <v>Pingar 3 gotas de 8/8 horas no(s) ouvido(s) comprometido(s). Por 7 a 10 dias</v>
      </c>
      <c r="C216" s="27"/>
      <c r="D216" s="25"/>
    </row>
    <row r="217" spans="1:4" ht="27.75" x14ac:dyDescent="0.2">
      <c r="A217" s="104" t="s">
        <v>252</v>
      </c>
      <c r="B217" s="55" t="str">
        <f>"Pingar 3 gotas de 8/8 horas no(s) ouvido(s) comprometido(s). Por 7 a 10 dias"</f>
        <v>Pingar 3 gotas de 8/8 horas no(s) ouvido(s) comprometido(s). Por 7 a 10 dias</v>
      </c>
      <c r="D217" s="25"/>
    </row>
    <row r="218" spans="1:4" ht="27.75" x14ac:dyDescent="0.2">
      <c r="A218" s="104" t="s">
        <v>253</v>
      </c>
      <c r="B218" s="55" t="str">
        <f>"Pingar 3 gotas de 8/8 horas no(s) ouvido(s) comprometido(s). Por 7 a 10 dias"</f>
        <v>Pingar 3 gotas de 8/8 horas no(s) ouvido(s) comprometido(s). Por 7 a 10 dias</v>
      </c>
      <c r="C218" s="27"/>
      <c r="D218" s="25"/>
    </row>
    <row r="219" spans="1:4" ht="27.75" x14ac:dyDescent="0.2">
      <c r="A219" s="104" t="s">
        <v>254</v>
      </c>
      <c r="B219" s="55" t="str">
        <f>"Pingar 2 gotas de 8/8 horas no(s) ouvido(s) comprometido(s). Por 7 a 10 dias"</f>
        <v>Pingar 2 gotas de 8/8 horas no(s) ouvido(s) comprometido(s). Por 7 a 10 dias</v>
      </c>
      <c r="C219" s="27"/>
      <c r="D219" s="25"/>
    </row>
    <row r="220" spans="1:4" ht="27.75" x14ac:dyDescent="0.2">
      <c r="A220" s="104" t="s">
        <v>255</v>
      </c>
      <c r="B220" s="55" t="str">
        <f>"Pingar 4 gotas de 8/8 horas no(s) ouvido(s) comprometido(s). Até o desaparecimento da dor e da infecção."</f>
        <v>Pingar 4 gotas de 8/8 horas no(s) ouvido(s) comprometido(s). Até o desaparecimento da dor e da infecção.</v>
      </c>
      <c r="C220" s="132"/>
      <c r="D220" s="25"/>
    </row>
    <row r="221" spans="1:4" ht="27.75" x14ac:dyDescent="0.2">
      <c r="A221" s="124" t="s">
        <v>256</v>
      </c>
      <c r="B221" s="55" t="str">
        <f>"Pingar 2 gotas de 8/8 horas no(s) ouvido(s) comprometido(s). Por 7 a 10 dias"</f>
        <v>Pingar 2 gotas de 8/8 horas no(s) ouvido(s) comprometido(s). Por 7 a 10 dias</v>
      </c>
      <c r="C221" s="27"/>
      <c r="D221" s="25"/>
    </row>
    <row r="222" spans="1:4" x14ac:dyDescent="0.2">
      <c r="A222" s="104" t="s">
        <v>257</v>
      </c>
      <c r="B222" s="55" t="str">
        <f>"Pingar 3 gotas de 8/8 horas no(s) ouvido(s) comprometido(s). Por 21 dias"</f>
        <v>Pingar 3 gotas de 8/8 horas no(s) ouvido(s) comprometido(s). Por 21 dias</v>
      </c>
      <c r="C222" s="152"/>
      <c r="D222" s="25"/>
    </row>
    <row r="223" spans="1:4" x14ac:dyDescent="0.2">
      <c r="A223" s="118" t="s">
        <v>258</v>
      </c>
      <c r="B223" s="99"/>
      <c r="C223" s="27"/>
      <c r="D223" s="25"/>
    </row>
    <row r="224" spans="1:4" x14ac:dyDescent="0.2">
      <c r="A224" s="104" t="s">
        <v>259</v>
      </c>
      <c r="B224" s="55" t="str">
        <f>"Administrar 2 jatos em região nasal de 12/12 horas."</f>
        <v>Administrar 2 jatos em região nasal de 12/12 horas.</v>
      </c>
      <c r="C224" s="27"/>
      <c r="D224" s="25"/>
    </row>
    <row r="225" spans="1:4" x14ac:dyDescent="0.2">
      <c r="A225" s="104" t="s">
        <v>260</v>
      </c>
      <c r="B225" s="55" t="str">
        <f>"Administrar 2 jatos em região nasal de 12/12 horas."</f>
        <v>Administrar 2 jatos em região nasal de 12/12 horas.</v>
      </c>
      <c r="C225" s="27"/>
      <c r="D225" s="25"/>
    </row>
    <row r="226" spans="1:4" x14ac:dyDescent="0.2">
      <c r="A226" s="104" t="s">
        <v>261</v>
      </c>
      <c r="B226" s="55" t="str">
        <f>"Administrar 2 jatos em região nasal de 12/12 horas."</f>
        <v>Administrar 2 jatos em região nasal de 12/12 horas.</v>
      </c>
      <c r="C226" s="27"/>
      <c r="D226" s="25"/>
    </row>
    <row r="227" spans="1:4" x14ac:dyDescent="0.2">
      <c r="A227" s="104" t="s">
        <v>262</v>
      </c>
      <c r="B227" s="55" t="str">
        <f>"Administrar 4 jatos em região nasal de 6/6 horas. Por 5 dias."</f>
        <v>Administrar 4 jatos em região nasal de 6/6 horas. Por 5 dias.</v>
      </c>
      <c r="C227" s="27"/>
      <c r="D227" s="25"/>
    </row>
    <row r="228" spans="1:4" x14ac:dyDescent="0.2">
      <c r="A228" s="119" t="s">
        <v>263</v>
      </c>
      <c r="B228" s="55" t="str">
        <f>"Administrar 2 jatos em região nasal de 12/12 horas."</f>
        <v>Administrar 2 jatos em região nasal de 12/12 horas.</v>
      </c>
      <c r="C228" s="27"/>
      <c r="D228" s="25"/>
    </row>
    <row r="229" spans="1:4" x14ac:dyDescent="0.2">
      <c r="A229" s="170" t="s">
        <v>264</v>
      </c>
      <c r="B229" s="99"/>
      <c r="C229" s="65" t="s">
        <v>228</v>
      </c>
      <c r="D229" s="25"/>
    </row>
    <row r="230" spans="1:4" ht="41.25" x14ac:dyDescent="0.2">
      <c r="A230" s="57" t="s">
        <v>265</v>
      </c>
      <c r="B230" s="28" t="str">
        <f>"Aplicar nas lesões e dentro das narinas de 6/6 horas por 10 dias. Manter as unhas curtas e limpas. Realizar a limpeza das lesões com água e sabão antes da aplicação da pomada."</f>
        <v>Aplicar nas lesões e dentro das narinas de 6/6 horas por 10 dias. Manter as unhas curtas e limpas. Realizar a limpeza das lesões com água e sabão antes da aplicação da pomada.</v>
      </c>
      <c r="C230" s="133" t="s">
        <v>266</v>
      </c>
      <c r="D230" s="25"/>
    </row>
    <row r="231" spans="1:4" ht="27.75" x14ac:dyDescent="0.2">
      <c r="A231" s="57" t="s">
        <v>267</v>
      </c>
      <c r="B231" s="28" t="s">
        <v>268</v>
      </c>
      <c r="C231" s="133" t="s">
        <v>269</v>
      </c>
      <c r="D231" s="25"/>
    </row>
    <row r="232" spans="1:4" ht="41.25" x14ac:dyDescent="0.2">
      <c r="A232" s="57" t="s">
        <v>270</v>
      </c>
      <c r="B232" s="28" t="str">
        <f>"Aplicar uma fina camada no local afetado de 12/12 horas por 10 dias. Indicado para dermatites: de contato, atópica, seborreica, intertrigo, desidrose e neurodermatite."</f>
        <v>Aplicar uma fina camada no local afetado de 12/12 horas por 10 dias. Indicado para dermatites: de contato, atópica, seborreica, intertrigo, desidrose e neurodermatite.</v>
      </c>
      <c r="C232" s="148" t="s">
        <v>271</v>
      </c>
      <c r="D232" s="25"/>
    </row>
    <row r="233" spans="1:4" x14ac:dyDescent="0.2">
      <c r="A233" s="57" t="s">
        <v>272</v>
      </c>
      <c r="B233" s="28" t="str">
        <f>"Aplicar uma fina camada no local afetado de 12/12 horas por 10 dias."</f>
        <v>Aplicar uma fina camada no local afetado de 12/12 horas por 10 dias.</v>
      </c>
      <c r="C233" s="148" t="s">
        <v>273</v>
      </c>
      <c r="D233" s="25"/>
    </row>
    <row r="234" spans="1:4" ht="27.75" x14ac:dyDescent="0.2">
      <c r="A234" s="57" t="s">
        <v>274</v>
      </c>
      <c r="B234" s="28" t="str">
        <f>"Aplicar uma camada no local afetado de 12/12 horas por 10 dias como tratamento."</f>
        <v>Aplicar uma camada no local afetado de 12/12 horas por 10 dias como tratamento.</v>
      </c>
      <c r="C234" s="148" t="s">
        <v>275</v>
      </c>
      <c r="D234" s="25"/>
    </row>
    <row r="235" spans="1:4" x14ac:dyDescent="0.2">
      <c r="A235" s="57" t="s">
        <v>276</v>
      </c>
      <c r="B235" s="28" t="str">
        <f>"Aplicar na região do prepúcio de 12/12 horas por 3 semanas."</f>
        <v>Aplicar na região do prepúcio de 12/12 horas por 3 semanas.</v>
      </c>
      <c r="C235" s="148" t="s">
        <v>277</v>
      </c>
      <c r="D235" s="25"/>
    </row>
    <row r="236" spans="1:4" ht="27.75" x14ac:dyDescent="0.2">
      <c r="A236" s="57" t="s">
        <v>278</v>
      </c>
      <c r="B236" s="28" t="str">
        <f>"Aplicar uma fina camada no local afetado de 12/12 horas por 10 dias."</f>
        <v>Aplicar uma fina camada no local afetado de 12/12 horas por 10 dias.</v>
      </c>
      <c r="C236" s="148" t="s">
        <v>279</v>
      </c>
      <c r="D236" s="25"/>
    </row>
    <row r="237" spans="1:4" ht="27.75" x14ac:dyDescent="0.2">
      <c r="A237" s="57" t="s">
        <v>280</v>
      </c>
      <c r="B237" s="28" t="str">
        <f>"Aplicar nas lesões, 2 vezes ao dia, até melhorar. (Não passar no rosto). Manter as unhas curtas e limpas."</f>
        <v>Aplicar nas lesões, 2 vezes ao dia, até melhorar. (Não passar no rosto). Manter as unhas curtas e limpas.</v>
      </c>
      <c r="C237" s="148" t="s">
        <v>281</v>
      </c>
      <c r="D237" s="25"/>
    </row>
    <row r="238" spans="1:4" x14ac:dyDescent="0.2">
      <c r="A238" s="57" t="s">
        <v>282</v>
      </c>
      <c r="B238" s="28" t="str">
        <f>"Passar na(s) assadura(s) de 8/8 horas por 5 dias."</f>
        <v>Passar na(s) assadura(s) de 8/8 horas por 5 dias.</v>
      </c>
      <c r="C238" s="148" t="s">
        <v>283</v>
      </c>
      <c r="D238" s="25"/>
    </row>
    <row r="239" spans="1:4" ht="27.75" x14ac:dyDescent="0.2">
      <c r="A239" s="57" t="s">
        <v>284</v>
      </c>
      <c r="B239" s="28" t="str">
        <f>"Passar na(s) assadura(s) a cada troca de fraldas ou de 6/6 horas por 14 dias."</f>
        <v>Passar na(s) assadura(s) a cada troca de fraldas ou de 6/6 horas por 14 dias.</v>
      </c>
      <c r="C239" s="148" t="s">
        <v>285</v>
      </c>
      <c r="D239" s="25"/>
    </row>
    <row r="240" spans="1:4" ht="41.25" x14ac:dyDescent="0.2">
      <c r="A240" s="57" t="s">
        <v>286</v>
      </c>
      <c r="B240" s="28" t="str">
        <f>"Aplicar e friccionar levemente. Manter a espuma sem enxaguar por 10 minutos. Depois enxaguar bem. Repetir por 4 dias consecutivos. Fazer intervalo de 7 dias e repetir por mais 4 dias."</f>
        <v>Aplicar e friccionar levemente. Manter a espuma sem enxaguar por 10 minutos. Depois enxaguar bem. Repetir por 4 dias consecutivos. Fazer intervalo de 7 dias e repetir por mais 4 dias.</v>
      </c>
      <c r="C240" s="148" t="s">
        <v>287</v>
      </c>
      <c r="D240" s="25"/>
    </row>
    <row r="241" spans="1:4" ht="27.75" x14ac:dyDescent="0.2">
      <c r="A241" s="57" t="s">
        <v>265</v>
      </c>
      <c r="B241" s="28" t="str">
        <f>"Aplicar dentro das narinas com um cotonete de 6/6 horas por 5 dias. Retorno com otorrino em 1 semana para reavaliação."</f>
        <v>Aplicar dentro das narinas com um cotonete de 6/6 horas por 5 dias. Retorno com otorrino em 1 semana para reavaliação.</v>
      </c>
      <c r="C241" s="148" t="s">
        <v>288</v>
      </c>
      <c r="D241" s="25"/>
    </row>
    <row r="242" spans="1:4" ht="41.25" x14ac:dyDescent="0.2">
      <c r="A242" s="57" t="s">
        <v>289</v>
      </c>
      <c r="B242" s="28" t="str">
        <f>"Aplicar e friccionar nas áreas afetadas após o banho e deixar até o próximo banho. Repetir por 4 dias consecutivos. Fazer intervalo de 7 dias e repetir por mais 4 dias."</f>
        <v>Aplicar e friccionar nas áreas afetadas após o banho e deixar até o próximo banho. Repetir por 4 dias consecutivos. Fazer intervalo de 7 dias e repetir por mais 4 dias.</v>
      </c>
      <c r="C242" s="148" t="s">
        <v>290</v>
      </c>
      <c r="D242" s="25"/>
    </row>
    <row r="243" spans="1:4" ht="41.25" x14ac:dyDescent="0.2">
      <c r="A243" s="57" t="s">
        <v>291</v>
      </c>
      <c r="B243" s="28" t="str">
        <f>"Aplicar e friccionar levemente abaixo do pescoço. Retirar no próximo dia. Para menores de 1 mês, retirar em menos de 6 horas. Repetir o tratamento entre 5 a 7 dias."</f>
        <v>Aplicar e friccionar levemente abaixo do pescoço. Retirar no próximo dia. Para menores de 1 mês, retirar em menos de 6 horas. Repetir o tratamento entre 5 a 7 dias.</v>
      </c>
      <c r="C243" s="133" t="s">
        <v>292</v>
      </c>
      <c r="D243" s="25"/>
    </row>
    <row r="244" spans="1:4" x14ac:dyDescent="0.2">
      <c r="A244" s="57" t="s">
        <v>293</v>
      </c>
      <c r="B244" s="28" t="str">
        <f>"Aplicar creme tópico na região acometida de 4/4 horas por 4 dias."</f>
        <v>Aplicar creme tópico na região acometida de 4/4 horas por 4 dias.</v>
      </c>
      <c r="C244" s="133" t="s">
        <v>294</v>
      </c>
      <c r="D244" s="25"/>
    </row>
    <row r="245" spans="1:4" x14ac:dyDescent="0.2">
      <c r="A245" s="57" t="s">
        <v>295</v>
      </c>
      <c r="B245" s="28" t="str">
        <f>"Aplicar uma camada fina sobre a pele lesionada de 8/8 horas por 7 dias."</f>
        <v>Aplicar uma camada fina sobre a pele lesionada de 8/8 horas por 7 dias.</v>
      </c>
      <c r="C245" s="133" t="s">
        <v>296</v>
      </c>
      <c r="D245" s="25"/>
    </row>
    <row r="246" spans="1:4" x14ac:dyDescent="0.2">
      <c r="A246" s="111" t="s">
        <v>297</v>
      </c>
      <c r="B246" s="28" t="str">
        <f>"Aplicar na área afetada até de 8/8 horas por no máximo 10 dias."</f>
        <v>Aplicar na área afetada até de 8/8 horas por no máximo 10 dias.</v>
      </c>
      <c r="C246" s="133" t="s">
        <v>296</v>
      </c>
      <c r="D246" s="25"/>
    </row>
    <row r="247" spans="1:4" x14ac:dyDescent="0.2">
      <c r="A247" s="57" t="s">
        <v>298</v>
      </c>
      <c r="B247" s="28" t="str">
        <f>"Aplicar uma pequena quantidade do creme no local afetado, de 8/8 horas."</f>
        <v>Aplicar uma pequena quantidade do creme no local afetado, de 8/8 horas.</v>
      </c>
      <c r="C247" s="133" t="s">
        <v>299</v>
      </c>
      <c r="D247" s="25"/>
    </row>
    <row r="248" spans="1:4" ht="27.75" x14ac:dyDescent="0.2">
      <c r="A248" s="57" t="s">
        <v>300</v>
      </c>
      <c r="B248" s="28" t="str">
        <f>"Aplicar uma fina camada de modo a cobrir toda a área afetada uma vez ao dia."</f>
        <v>Aplicar uma fina camada de modo a cobrir toda a área afetada uma vez ao dia.</v>
      </c>
      <c r="C248" s="133" t="s">
        <v>299</v>
      </c>
      <c r="D248" s="25"/>
    </row>
    <row r="249" spans="1:4" ht="41.25" x14ac:dyDescent="0.2">
      <c r="A249" s="57" t="s">
        <v>301</v>
      </c>
      <c r="B249" s="43" t="str">
        <f>"Dissolver o conteúdo de 1 a 2 envelope(s) do pó para preparação extemporânea ou 10 a 20 mL da solução ginecológica em 1 L de água e usar em lavagens vaginais de 12/12 horas."</f>
        <v>Dissolver o conteúdo de 1 a 2 envelope(s) do pó para preparação extemporânea ou 10 a 20 mL da solução ginecológica em 1 L de água e usar em lavagens vaginais de 12/12 horas.</v>
      </c>
      <c r="C249" s="133" t="s">
        <v>302</v>
      </c>
      <c r="D249" s="25"/>
    </row>
    <row r="250" spans="1:4" ht="41.25" x14ac:dyDescent="0.2">
      <c r="A250" s="57" t="s">
        <v>303</v>
      </c>
      <c r="B250" s="28" t="str">
        <f>"Aplicar 1 ou 2 nebulizações 15 minutos antes das principais refeições. As nebulizações devem ser aplicadas na cavidade bucal, direcionando o aplicador para a orofaringe (fundo da garganta)."</f>
        <v>Aplicar 1 ou 2 nebulizações 15 minutos antes das principais refeições. As nebulizações devem ser aplicadas na cavidade bucal, direcionando o aplicador para a orofaringe (fundo da garganta).</v>
      </c>
      <c r="C250" s="133" t="s">
        <v>304</v>
      </c>
      <c r="D250" s="25"/>
    </row>
    <row r="251" spans="1:4" x14ac:dyDescent="0.2">
      <c r="A251" s="54" t="s">
        <v>305</v>
      </c>
      <c r="B251" s="28" t="str">
        <f>"Aplicar 1 jato na garganta 20 minutos antes das principais refeições."</f>
        <v>Aplicar 1 jato na garganta 20 minutos antes das principais refeições.</v>
      </c>
      <c r="C251" s="133"/>
      <c r="D251" s="25"/>
    </row>
    <row r="252" spans="1:4" ht="27.75" x14ac:dyDescent="0.2">
      <c r="A252" s="57" t="s">
        <v>306</v>
      </c>
      <c r="B252" s="153" t="str">
        <f>"Diluir o comprimido no momento do uso, em 1 a 4 litros de água, e usar na forma de compressas ou no banho."</f>
        <v>Diluir o comprimido no momento do uso, em 1 a 4 litros de água, e usar na forma de compressas ou no banho.</v>
      </c>
      <c r="C252" s="133" t="s">
        <v>307</v>
      </c>
      <c r="D252" s="25"/>
    </row>
    <row r="253" spans="1:4" ht="41.25" x14ac:dyDescent="0.2">
      <c r="A253" s="57" t="s">
        <v>308</v>
      </c>
      <c r="B253" s="28" t="str">
        <f>"Aplicar uma camada sobre a lesão de 12/12 horas utilizando técnica asséptica. Ocluir o local com gaze estéril. Continuar até a cicatrização completa da ferida."</f>
        <v>Aplicar uma camada sobre a lesão de 12/12 horas utilizando técnica asséptica. Ocluir o local com gaze estéril. Continuar até a cicatrização completa da ferida.</v>
      </c>
      <c r="C253" s="133" t="s">
        <v>309</v>
      </c>
      <c r="D253" s="25"/>
    </row>
    <row r="254" spans="1:4" x14ac:dyDescent="0.2">
      <c r="A254" s="61"/>
      <c r="B254" s="50"/>
      <c r="C254" s="59"/>
    </row>
    <row r="255" spans="1:4" x14ac:dyDescent="0.2">
      <c r="B255" s="135"/>
    </row>
    <row r="256" spans="1:4" x14ac:dyDescent="0.2">
      <c r="B256" s="135"/>
    </row>
    <row r="257" spans="2:3" x14ac:dyDescent="0.2">
      <c r="B257" s="135"/>
    </row>
    <row r="258" spans="2:3" x14ac:dyDescent="0.2">
      <c r="B258" s="135"/>
    </row>
    <row r="259" spans="2:3" x14ac:dyDescent="0.2">
      <c r="B259" s="135"/>
    </row>
    <row r="260" spans="2:3" x14ac:dyDescent="0.2">
      <c r="B260" s="135"/>
    </row>
    <row r="261" spans="2:3" x14ac:dyDescent="0.2">
      <c r="B261" s="135"/>
    </row>
    <row r="262" spans="2:3" x14ac:dyDescent="0.2">
      <c r="B262" s="135"/>
    </row>
    <row r="263" spans="2:3" x14ac:dyDescent="0.2">
      <c r="B263" s="135"/>
    </row>
    <row r="264" spans="2:3" x14ac:dyDescent="0.2">
      <c r="B264" s="135"/>
    </row>
    <row r="265" spans="2:3" x14ac:dyDescent="0.2">
      <c r="B265" s="135"/>
    </row>
    <row r="266" spans="2:3" x14ac:dyDescent="0.2">
      <c r="B266" s="135"/>
    </row>
    <row r="267" spans="2:3" x14ac:dyDescent="0.2">
      <c r="B267" s="135"/>
      <c r="C267" s="25" t="s">
        <v>310</v>
      </c>
    </row>
    <row r="268" spans="2:3" x14ac:dyDescent="0.2">
      <c r="B268" s="135"/>
    </row>
    <row r="269" spans="2:3" x14ac:dyDescent="0.2">
      <c r="B269" s="135"/>
    </row>
    <row r="270" spans="2:3" x14ac:dyDescent="0.2">
      <c r="B270" s="135"/>
    </row>
    <row r="271" spans="2:3" x14ac:dyDescent="0.2">
      <c r="B271" s="135"/>
    </row>
    <row r="272" spans="2:3" x14ac:dyDescent="0.2">
      <c r="B272" s="135"/>
    </row>
    <row r="273" spans="2:2" x14ac:dyDescent="0.2">
      <c r="B273" s="135"/>
    </row>
    <row r="274" spans="2:2" x14ac:dyDescent="0.2">
      <c r="B274" s="135"/>
    </row>
    <row r="275" spans="2:2" x14ac:dyDescent="0.2">
      <c r="B275" s="135"/>
    </row>
    <row r="276" spans="2:2" x14ac:dyDescent="0.2">
      <c r="B276" s="136"/>
    </row>
    <row r="277" spans="2:2" x14ac:dyDescent="0.2">
      <c r="B277" s="136"/>
    </row>
    <row r="278" spans="2:2" x14ac:dyDescent="0.2">
      <c r="B278" s="136"/>
    </row>
    <row r="279" spans="2:2" x14ac:dyDescent="0.2">
      <c r="B279" s="136"/>
    </row>
    <row r="280" spans="2:2" x14ac:dyDescent="0.2">
      <c r="B280" s="136"/>
    </row>
    <row r="281" spans="2:2" x14ac:dyDescent="0.2">
      <c r="B281" s="136"/>
    </row>
    <row r="282" spans="2:2" x14ac:dyDescent="0.2">
      <c r="B282" s="136"/>
    </row>
    <row r="283" spans="2:2" x14ac:dyDescent="0.2">
      <c r="B283" s="136"/>
    </row>
    <row r="284" spans="2:2" x14ac:dyDescent="0.2">
      <c r="B284" s="136"/>
    </row>
    <row r="285" spans="2:2" x14ac:dyDescent="0.2">
      <c r="B285" s="136"/>
    </row>
    <row r="286" spans="2:2" x14ac:dyDescent="0.2">
      <c r="B286" s="136"/>
    </row>
    <row r="287" spans="2:2" x14ac:dyDescent="0.2">
      <c r="B287" s="136"/>
    </row>
    <row r="288" spans="2:2" x14ac:dyDescent="0.2">
      <c r="B288" s="136"/>
    </row>
    <row r="289" spans="2:2" x14ac:dyDescent="0.2">
      <c r="B289" s="136"/>
    </row>
    <row r="290" spans="2:2" x14ac:dyDescent="0.2">
      <c r="B290" s="136"/>
    </row>
    <row r="291" spans="2:2" x14ac:dyDescent="0.2">
      <c r="B291" s="136"/>
    </row>
    <row r="292" spans="2:2" x14ac:dyDescent="0.2">
      <c r="B292" s="136"/>
    </row>
    <row r="293" spans="2:2" x14ac:dyDescent="0.2">
      <c r="B293" s="136"/>
    </row>
    <row r="294" spans="2:2" x14ac:dyDescent="0.2">
      <c r="B294" s="136"/>
    </row>
    <row r="295" spans="2:2" x14ac:dyDescent="0.2">
      <c r="B295" s="136"/>
    </row>
    <row r="296" spans="2:2" x14ac:dyDescent="0.2">
      <c r="B296" s="136"/>
    </row>
    <row r="297" spans="2:2" x14ac:dyDescent="0.2">
      <c r="B297" s="136"/>
    </row>
    <row r="298" spans="2:2" x14ac:dyDescent="0.2">
      <c r="B298" s="136"/>
    </row>
    <row r="299" spans="2:2" x14ac:dyDescent="0.2">
      <c r="B299" s="136"/>
    </row>
    <row r="300" spans="2:2" x14ac:dyDescent="0.2">
      <c r="B300" s="136"/>
    </row>
    <row r="301" spans="2:2" x14ac:dyDescent="0.2">
      <c r="B301" s="136"/>
    </row>
    <row r="302" spans="2:2" x14ac:dyDescent="0.2">
      <c r="B302" s="136"/>
    </row>
    <row r="303" spans="2:2" x14ac:dyDescent="0.2">
      <c r="B303" s="136"/>
    </row>
    <row r="304" spans="2:2" x14ac:dyDescent="0.2">
      <c r="B304" s="136"/>
    </row>
    <row r="305" spans="2:2" x14ac:dyDescent="0.2">
      <c r="B305" s="136"/>
    </row>
    <row r="306" spans="2:2" x14ac:dyDescent="0.2">
      <c r="B306" s="136"/>
    </row>
    <row r="307" spans="2:2" x14ac:dyDescent="0.2">
      <c r="B307" s="136"/>
    </row>
    <row r="308" spans="2:2" x14ac:dyDescent="0.2">
      <c r="B308" s="136"/>
    </row>
    <row r="309" spans="2:2" x14ac:dyDescent="0.2">
      <c r="B309" s="136"/>
    </row>
    <row r="310" spans="2:2" x14ac:dyDescent="0.2">
      <c r="B310" s="136"/>
    </row>
    <row r="311" spans="2:2" x14ac:dyDescent="0.2">
      <c r="B311" s="136"/>
    </row>
    <row r="312" spans="2:2" x14ac:dyDescent="0.2">
      <c r="B312" s="136"/>
    </row>
    <row r="313" spans="2:2" x14ac:dyDescent="0.2">
      <c r="B313" s="136"/>
    </row>
    <row r="314" spans="2:2" x14ac:dyDescent="0.2">
      <c r="B314" s="136"/>
    </row>
    <row r="315" spans="2:2" x14ac:dyDescent="0.2">
      <c r="B315" s="136"/>
    </row>
    <row r="316" spans="2:2" x14ac:dyDescent="0.2">
      <c r="B316" s="136"/>
    </row>
    <row r="317" spans="2:2" x14ac:dyDescent="0.2">
      <c r="B317" s="136"/>
    </row>
    <row r="318" spans="2:2" x14ac:dyDescent="0.2">
      <c r="B318" s="136"/>
    </row>
    <row r="319" spans="2:2" x14ac:dyDescent="0.2">
      <c r="B319" s="136"/>
    </row>
    <row r="320" spans="2:2" x14ac:dyDescent="0.2">
      <c r="B320" s="136"/>
    </row>
    <row r="321" spans="2:2" x14ac:dyDescent="0.2">
      <c r="B321" s="136"/>
    </row>
    <row r="322" spans="2:2" x14ac:dyDescent="0.2">
      <c r="B322" s="136"/>
    </row>
    <row r="323" spans="2:2" x14ac:dyDescent="0.2">
      <c r="B323" s="136"/>
    </row>
    <row r="324" spans="2:2" x14ac:dyDescent="0.2">
      <c r="B324" s="136"/>
    </row>
    <row r="325" spans="2:2" x14ac:dyDescent="0.2">
      <c r="B325" s="136"/>
    </row>
    <row r="326" spans="2:2" x14ac:dyDescent="0.2">
      <c r="B326" s="136"/>
    </row>
    <row r="327" spans="2:2" x14ac:dyDescent="0.2">
      <c r="B327" s="136"/>
    </row>
    <row r="328" spans="2:2" x14ac:dyDescent="0.2">
      <c r="B328" s="136"/>
    </row>
    <row r="329" spans="2:2" x14ac:dyDescent="0.2">
      <c r="B329" s="136"/>
    </row>
    <row r="330" spans="2:2" x14ac:dyDescent="0.2">
      <c r="B330" s="136"/>
    </row>
    <row r="331" spans="2:2" x14ac:dyDescent="0.2">
      <c r="B331" s="136"/>
    </row>
    <row r="332" spans="2:2" x14ac:dyDescent="0.2">
      <c r="B332" s="136"/>
    </row>
    <row r="333" spans="2:2" x14ac:dyDescent="0.2">
      <c r="B333" s="136"/>
    </row>
    <row r="334" spans="2:2" x14ac:dyDescent="0.2">
      <c r="B334" s="136"/>
    </row>
    <row r="335" spans="2:2" x14ac:dyDescent="0.2">
      <c r="B335" s="136"/>
    </row>
    <row r="336" spans="2:2" x14ac:dyDescent="0.2">
      <c r="B336" s="136"/>
    </row>
    <row r="337" spans="2:2" x14ac:dyDescent="0.2">
      <c r="B337" s="136"/>
    </row>
    <row r="338" spans="2:2" x14ac:dyDescent="0.2">
      <c r="B338" s="136"/>
    </row>
    <row r="339" spans="2:2" x14ac:dyDescent="0.2">
      <c r="B339" s="136"/>
    </row>
    <row r="340" spans="2:2" x14ac:dyDescent="0.2">
      <c r="B340" s="136"/>
    </row>
    <row r="341" spans="2:2" x14ac:dyDescent="0.2">
      <c r="B341" s="136"/>
    </row>
    <row r="342" spans="2:2" x14ac:dyDescent="0.2">
      <c r="B342" s="136"/>
    </row>
    <row r="343" spans="2:2" x14ac:dyDescent="0.2">
      <c r="B343" s="136"/>
    </row>
    <row r="344" spans="2:2" x14ac:dyDescent="0.2">
      <c r="B344" s="136"/>
    </row>
    <row r="345" spans="2:2" x14ac:dyDescent="0.2">
      <c r="B345" s="136"/>
    </row>
    <row r="346" spans="2:2" x14ac:dyDescent="0.2">
      <c r="B346" s="136"/>
    </row>
    <row r="347" spans="2:2" x14ac:dyDescent="0.2">
      <c r="B347" s="136"/>
    </row>
    <row r="348" spans="2:2" x14ac:dyDescent="0.2">
      <c r="B348" s="136"/>
    </row>
    <row r="349" spans="2:2" x14ac:dyDescent="0.2">
      <c r="B349" s="136"/>
    </row>
    <row r="350" spans="2:2" x14ac:dyDescent="0.2">
      <c r="B350" s="136"/>
    </row>
    <row r="351" spans="2:2" x14ac:dyDescent="0.2">
      <c r="B351" s="136"/>
    </row>
    <row r="352" spans="2:2" x14ac:dyDescent="0.2">
      <c r="B352" s="136"/>
    </row>
    <row r="353" spans="2:2" x14ac:dyDescent="0.2">
      <c r="B353" s="136"/>
    </row>
    <row r="354" spans="2:2" x14ac:dyDescent="0.2">
      <c r="B354" s="136"/>
    </row>
    <row r="355" spans="2:2" x14ac:dyDescent="0.2">
      <c r="B355" s="136"/>
    </row>
    <row r="356" spans="2:2" x14ac:dyDescent="0.2">
      <c r="B356" s="136"/>
    </row>
    <row r="357" spans="2:2" x14ac:dyDescent="0.2">
      <c r="B357" s="136"/>
    </row>
    <row r="358" spans="2:2" x14ac:dyDescent="0.2">
      <c r="B358" s="136"/>
    </row>
    <row r="359" spans="2:2" x14ac:dyDescent="0.2">
      <c r="B359" s="136"/>
    </row>
    <row r="360" spans="2:2" x14ac:dyDescent="0.2">
      <c r="B360" s="136"/>
    </row>
    <row r="361" spans="2:2" x14ac:dyDescent="0.2">
      <c r="B361" s="136"/>
    </row>
    <row r="362" spans="2:2" x14ac:dyDescent="0.2">
      <c r="B362" s="136"/>
    </row>
    <row r="363" spans="2:2" x14ac:dyDescent="0.2">
      <c r="B363" s="136"/>
    </row>
    <row r="364" spans="2:2" x14ac:dyDescent="0.2">
      <c r="B364" s="136"/>
    </row>
    <row r="365" spans="2:2" x14ac:dyDescent="0.2">
      <c r="B365" s="136"/>
    </row>
    <row r="366" spans="2:2" x14ac:dyDescent="0.2">
      <c r="B366" s="136"/>
    </row>
    <row r="367" spans="2:2" x14ac:dyDescent="0.2">
      <c r="B367" s="136"/>
    </row>
    <row r="368" spans="2:2" x14ac:dyDescent="0.2">
      <c r="B368" s="136"/>
    </row>
    <row r="369" spans="2:2" x14ac:dyDescent="0.2">
      <c r="B369" s="136"/>
    </row>
    <row r="370" spans="2:2" x14ac:dyDescent="0.2">
      <c r="B370" s="136"/>
    </row>
    <row r="371" spans="2:2" x14ac:dyDescent="0.2">
      <c r="B371" s="136"/>
    </row>
    <row r="372" spans="2:2" x14ac:dyDescent="0.2">
      <c r="B372" s="136"/>
    </row>
    <row r="373" spans="2:2" x14ac:dyDescent="0.2">
      <c r="B373" s="136"/>
    </row>
    <row r="374" spans="2:2" x14ac:dyDescent="0.2">
      <c r="B374" s="136"/>
    </row>
    <row r="375" spans="2:2" x14ac:dyDescent="0.2">
      <c r="B375" s="136"/>
    </row>
    <row r="376" spans="2:2" x14ac:dyDescent="0.2">
      <c r="B376" s="136"/>
    </row>
    <row r="377" spans="2:2" x14ac:dyDescent="0.2">
      <c r="B377" s="136"/>
    </row>
    <row r="378" spans="2:2" x14ac:dyDescent="0.2">
      <c r="B378" s="136"/>
    </row>
    <row r="379" spans="2:2" x14ac:dyDescent="0.2">
      <c r="B379" s="136"/>
    </row>
    <row r="380" spans="2:2" x14ac:dyDescent="0.2">
      <c r="B380" s="136"/>
    </row>
    <row r="381" spans="2:2" x14ac:dyDescent="0.2">
      <c r="B381" s="136"/>
    </row>
    <row r="382" spans="2:2" x14ac:dyDescent="0.2">
      <c r="B382" s="136"/>
    </row>
    <row r="383" spans="2:2" x14ac:dyDescent="0.2">
      <c r="B383" s="136"/>
    </row>
    <row r="384" spans="2:2" x14ac:dyDescent="0.2">
      <c r="B384" s="136"/>
    </row>
    <row r="385" spans="2:2" x14ac:dyDescent="0.2">
      <c r="B385" s="136"/>
    </row>
    <row r="386" spans="2:2" x14ac:dyDescent="0.2">
      <c r="B386" s="136"/>
    </row>
    <row r="387" spans="2:2" x14ac:dyDescent="0.2">
      <c r="B387" s="136"/>
    </row>
    <row r="388" spans="2:2" x14ac:dyDescent="0.2">
      <c r="B388" s="136"/>
    </row>
    <row r="389" spans="2:2" x14ac:dyDescent="0.2">
      <c r="B389" s="136"/>
    </row>
    <row r="390" spans="2:2" x14ac:dyDescent="0.2">
      <c r="B390" s="136"/>
    </row>
    <row r="391" spans="2:2" x14ac:dyDescent="0.2">
      <c r="B391" s="136"/>
    </row>
    <row r="392" spans="2:2" x14ac:dyDescent="0.2">
      <c r="B392" s="136"/>
    </row>
    <row r="393" spans="2:2" x14ac:dyDescent="0.2">
      <c r="B393" s="136"/>
    </row>
    <row r="394" spans="2:2" x14ac:dyDescent="0.2">
      <c r="B394" s="136"/>
    </row>
    <row r="395" spans="2:2" x14ac:dyDescent="0.2">
      <c r="B395" s="136"/>
    </row>
    <row r="396" spans="2:2" x14ac:dyDescent="0.2">
      <c r="B396" s="136"/>
    </row>
    <row r="397" spans="2:2" x14ac:dyDescent="0.2">
      <c r="B397" s="136"/>
    </row>
    <row r="398" spans="2:2" x14ac:dyDescent="0.2">
      <c r="B398" s="136"/>
    </row>
    <row r="399" spans="2:2" x14ac:dyDescent="0.2">
      <c r="B399" s="136"/>
    </row>
    <row r="400" spans="2:2" x14ac:dyDescent="0.2">
      <c r="B400" s="136"/>
    </row>
    <row r="401" spans="2:2" x14ac:dyDescent="0.2">
      <c r="B401" s="136"/>
    </row>
    <row r="402" spans="2:2" x14ac:dyDescent="0.2">
      <c r="B402" s="136"/>
    </row>
    <row r="403" spans="2:2" x14ac:dyDescent="0.2">
      <c r="B403" s="136"/>
    </row>
    <row r="404" spans="2:2" x14ac:dyDescent="0.2">
      <c r="B404" s="136"/>
    </row>
    <row r="405" spans="2:2" x14ac:dyDescent="0.2">
      <c r="B405" s="136"/>
    </row>
    <row r="406" spans="2:2" x14ac:dyDescent="0.2">
      <c r="B406" s="136"/>
    </row>
    <row r="407" spans="2:2" x14ac:dyDescent="0.2">
      <c r="B407" s="136"/>
    </row>
    <row r="408" spans="2:2" x14ac:dyDescent="0.2">
      <c r="B408" s="136"/>
    </row>
    <row r="409" spans="2:2" x14ac:dyDescent="0.2">
      <c r="B409" s="136"/>
    </row>
    <row r="410" spans="2:2" x14ac:dyDescent="0.2">
      <c r="B410" s="136"/>
    </row>
    <row r="411" spans="2:2" x14ac:dyDescent="0.2">
      <c r="B411" s="136"/>
    </row>
    <row r="412" spans="2:2" x14ac:dyDescent="0.2">
      <c r="B412" s="136"/>
    </row>
    <row r="413" spans="2:2" x14ac:dyDescent="0.2">
      <c r="B413" s="136"/>
    </row>
    <row r="414" spans="2:2" x14ac:dyDescent="0.2">
      <c r="B414" s="136"/>
    </row>
    <row r="415" spans="2:2" x14ac:dyDescent="0.2">
      <c r="B415" s="136"/>
    </row>
    <row r="416" spans="2:2" x14ac:dyDescent="0.2">
      <c r="B416" s="136"/>
    </row>
    <row r="417" spans="2:2" x14ac:dyDescent="0.2">
      <c r="B417" s="136"/>
    </row>
    <row r="418" spans="2:2" x14ac:dyDescent="0.2">
      <c r="B418" s="136"/>
    </row>
    <row r="419" spans="2:2" x14ac:dyDescent="0.2">
      <c r="B419" s="136"/>
    </row>
    <row r="420" spans="2:2" x14ac:dyDescent="0.2">
      <c r="B420" s="136"/>
    </row>
    <row r="421" spans="2:2" x14ac:dyDescent="0.2">
      <c r="B421" s="136"/>
    </row>
    <row r="422" spans="2:2" x14ac:dyDescent="0.2">
      <c r="B422" s="136"/>
    </row>
    <row r="423" spans="2:2" x14ac:dyDescent="0.2">
      <c r="B423" s="136"/>
    </row>
    <row r="424" spans="2:2" x14ac:dyDescent="0.2">
      <c r="B424" s="136"/>
    </row>
    <row r="425" spans="2:2" x14ac:dyDescent="0.2">
      <c r="B425" s="136"/>
    </row>
    <row r="426" spans="2:2" x14ac:dyDescent="0.2">
      <c r="B426" s="136"/>
    </row>
    <row r="427" spans="2:2" x14ac:dyDescent="0.2">
      <c r="B427" s="136"/>
    </row>
    <row r="428" spans="2:2" x14ac:dyDescent="0.2">
      <c r="B428" s="136"/>
    </row>
    <row r="429" spans="2:2" x14ac:dyDescent="0.2">
      <c r="B429" s="136"/>
    </row>
    <row r="430" spans="2:2" x14ac:dyDescent="0.2">
      <c r="B430" s="136"/>
    </row>
    <row r="431" spans="2:2" x14ac:dyDescent="0.2">
      <c r="B431" s="136"/>
    </row>
    <row r="432" spans="2:2" x14ac:dyDescent="0.2">
      <c r="B432" s="136"/>
    </row>
    <row r="433" spans="2:2" x14ac:dyDescent="0.2">
      <c r="B433" s="136"/>
    </row>
    <row r="434" spans="2:2" x14ac:dyDescent="0.2">
      <c r="B434" s="136"/>
    </row>
    <row r="435" spans="2:2" x14ac:dyDescent="0.2">
      <c r="B435" s="136"/>
    </row>
    <row r="436" spans="2:2" x14ac:dyDescent="0.2">
      <c r="B436" s="136"/>
    </row>
    <row r="437" spans="2:2" x14ac:dyDescent="0.2">
      <c r="B437" s="136"/>
    </row>
    <row r="438" spans="2:2" x14ac:dyDescent="0.2">
      <c r="B438" s="136"/>
    </row>
    <row r="439" spans="2:2" x14ac:dyDescent="0.2">
      <c r="B439" s="136"/>
    </row>
    <row r="440" spans="2:2" x14ac:dyDescent="0.2">
      <c r="B440" s="136"/>
    </row>
    <row r="441" spans="2:2" x14ac:dyDescent="0.2">
      <c r="B441" s="136"/>
    </row>
    <row r="442" spans="2:2" x14ac:dyDescent="0.2">
      <c r="B442" s="136"/>
    </row>
    <row r="443" spans="2:2" x14ac:dyDescent="0.2">
      <c r="B443" s="136"/>
    </row>
    <row r="444" spans="2:2" x14ac:dyDescent="0.2">
      <c r="B444" s="136"/>
    </row>
    <row r="445" spans="2:2" x14ac:dyDescent="0.2">
      <c r="B445" s="136"/>
    </row>
    <row r="446" spans="2:2" x14ac:dyDescent="0.2">
      <c r="B446" s="136"/>
    </row>
    <row r="447" spans="2:2" x14ac:dyDescent="0.2">
      <c r="B447" s="136"/>
    </row>
    <row r="448" spans="2:2" x14ac:dyDescent="0.2">
      <c r="B448" s="136"/>
    </row>
    <row r="449" spans="2:2" x14ac:dyDescent="0.2">
      <c r="B449" s="136"/>
    </row>
    <row r="450" spans="2:2" x14ac:dyDescent="0.2">
      <c r="B450" s="136"/>
    </row>
    <row r="451" spans="2:2" x14ac:dyDescent="0.2">
      <c r="B451" s="136"/>
    </row>
    <row r="452" spans="2:2" x14ac:dyDescent="0.2">
      <c r="B452" s="136"/>
    </row>
    <row r="453" spans="2:2" x14ac:dyDescent="0.2">
      <c r="B453" s="136"/>
    </row>
    <row r="454" spans="2:2" x14ac:dyDescent="0.2">
      <c r="B454" s="136"/>
    </row>
    <row r="455" spans="2:2" x14ac:dyDescent="0.2">
      <c r="B455" s="136"/>
    </row>
    <row r="456" spans="2:2" x14ac:dyDescent="0.2">
      <c r="B456" s="136"/>
    </row>
    <row r="457" spans="2:2" x14ac:dyDescent="0.2">
      <c r="B457" s="136"/>
    </row>
    <row r="458" spans="2:2" x14ac:dyDescent="0.2">
      <c r="B458" s="136"/>
    </row>
    <row r="459" spans="2:2" x14ac:dyDescent="0.2">
      <c r="B459" s="136"/>
    </row>
    <row r="460" spans="2:2" x14ac:dyDescent="0.2">
      <c r="B460" s="136"/>
    </row>
    <row r="461" spans="2:2" x14ac:dyDescent="0.2">
      <c r="B461" s="136"/>
    </row>
    <row r="462" spans="2:2" x14ac:dyDescent="0.2">
      <c r="B462" s="136"/>
    </row>
    <row r="463" spans="2:2" x14ac:dyDescent="0.2">
      <c r="B463" s="136"/>
    </row>
    <row r="464" spans="2:2" x14ac:dyDescent="0.2">
      <c r="B464" s="136"/>
    </row>
    <row r="465" spans="2:2" x14ac:dyDescent="0.2">
      <c r="B465" s="136"/>
    </row>
    <row r="466" spans="2:2" x14ac:dyDescent="0.2">
      <c r="B466" s="136"/>
    </row>
    <row r="467" spans="2:2" x14ac:dyDescent="0.2">
      <c r="B467" s="136"/>
    </row>
    <row r="468" spans="2:2" x14ac:dyDescent="0.2">
      <c r="B468" s="136"/>
    </row>
    <row r="469" spans="2:2" x14ac:dyDescent="0.2">
      <c r="B469" s="136"/>
    </row>
    <row r="470" spans="2:2" x14ac:dyDescent="0.2">
      <c r="B470" s="136"/>
    </row>
    <row r="471" spans="2:2" x14ac:dyDescent="0.2">
      <c r="B471" s="136"/>
    </row>
    <row r="472" spans="2:2" x14ac:dyDescent="0.2">
      <c r="B472" s="136"/>
    </row>
    <row r="473" spans="2:2" x14ac:dyDescent="0.2">
      <c r="B473" s="136"/>
    </row>
    <row r="474" spans="2:2" x14ac:dyDescent="0.2">
      <c r="B474" s="136"/>
    </row>
    <row r="475" spans="2:2" x14ac:dyDescent="0.2">
      <c r="B475" s="136"/>
    </row>
    <row r="476" spans="2:2" x14ac:dyDescent="0.2">
      <c r="B476" s="136"/>
    </row>
    <row r="477" spans="2:2" x14ac:dyDescent="0.2">
      <c r="B477" s="136"/>
    </row>
    <row r="478" spans="2:2" x14ac:dyDescent="0.2">
      <c r="B478" s="136"/>
    </row>
    <row r="479" spans="2:2" x14ac:dyDescent="0.2">
      <c r="B479" s="136"/>
    </row>
    <row r="480" spans="2:2" x14ac:dyDescent="0.2">
      <c r="B480" s="136"/>
    </row>
    <row r="481" spans="2:2" x14ac:dyDescent="0.2">
      <c r="B481" s="136"/>
    </row>
    <row r="482" spans="2:2" x14ac:dyDescent="0.2">
      <c r="B482" s="136"/>
    </row>
    <row r="483" spans="2:2" x14ac:dyDescent="0.2">
      <c r="B483" s="136"/>
    </row>
    <row r="484" spans="2:2" x14ac:dyDescent="0.2">
      <c r="B484" s="136"/>
    </row>
    <row r="485" spans="2:2" x14ac:dyDescent="0.2">
      <c r="B485" s="136"/>
    </row>
    <row r="486" spans="2:2" x14ac:dyDescent="0.2">
      <c r="B486" s="136"/>
    </row>
    <row r="487" spans="2:2" x14ac:dyDescent="0.2">
      <c r="B487" s="136"/>
    </row>
    <row r="488" spans="2:2" x14ac:dyDescent="0.2">
      <c r="B488" s="136"/>
    </row>
    <row r="489" spans="2:2" x14ac:dyDescent="0.2">
      <c r="B489" s="136"/>
    </row>
    <row r="490" spans="2:2" x14ac:dyDescent="0.2">
      <c r="B490" s="136"/>
    </row>
    <row r="491" spans="2:2" x14ac:dyDescent="0.2">
      <c r="B491" s="136"/>
    </row>
    <row r="492" spans="2:2" x14ac:dyDescent="0.2">
      <c r="B492" s="136"/>
    </row>
    <row r="493" spans="2:2" x14ac:dyDescent="0.2">
      <c r="B493" s="136"/>
    </row>
    <row r="494" spans="2:2" x14ac:dyDescent="0.2">
      <c r="B494" s="136"/>
    </row>
    <row r="495" spans="2:2" x14ac:dyDescent="0.2">
      <c r="B495" s="136"/>
    </row>
    <row r="496" spans="2:2" x14ac:dyDescent="0.2">
      <c r="B496" s="136"/>
    </row>
    <row r="497" spans="2:2" x14ac:dyDescent="0.2">
      <c r="B497" s="136"/>
    </row>
    <row r="498" spans="2:2" x14ac:dyDescent="0.2">
      <c r="B498" s="136"/>
    </row>
    <row r="499" spans="2:2" x14ac:dyDescent="0.2">
      <c r="B499" s="136"/>
    </row>
    <row r="500" spans="2:2" x14ac:dyDescent="0.2">
      <c r="B500" s="136"/>
    </row>
    <row r="501" spans="2:2" x14ac:dyDescent="0.2">
      <c r="B501" s="136"/>
    </row>
    <row r="502" spans="2:2" x14ac:dyDescent="0.2">
      <c r="B502" s="136"/>
    </row>
    <row r="503" spans="2:2" x14ac:dyDescent="0.2">
      <c r="B503" s="136"/>
    </row>
    <row r="504" spans="2:2" x14ac:dyDescent="0.2">
      <c r="B504" s="136"/>
    </row>
    <row r="505" spans="2:2" x14ac:dyDescent="0.2">
      <c r="B505" s="136"/>
    </row>
    <row r="506" spans="2:2" x14ac:dyDescent="0.2">
      <c r="B506" s="136"/>
    </row>
    <row r="507" spans="2:2" x14ac:dyDescent="0.2">
      <c r="B507" s="136"/>
    </row>
    <row r="508" spans="2:2" x14ac:dyDescent="0.2">
      <c r="B508" s="136"/>
    </row>
    <row r="509" spans="2:2" x14ac:dyDescent="0.2">
      <c r="B509" s="136"/>
    </row>
    <row r="510" spans="2:2" x14ac:dyDescent="0.2">
      <c r="B510" s="136"/>
    </row>
    <row r="511" spans="2:2" x14ac:dyDescent="0.2">
      <c r="B511" s="136"/>
    </row>
    <row r="512" spans="2:2" x14ac:dyDescent="0.2">
      <c r="B512" s="136"/>
    </row>
    <row r="513" spans="2:2" x14ac:dyDescent="0.2">
      <c r="B513" s="136"/>
    </row>
    <row r="514" spans="2:2" x14ac:dyDescent="0.2">
      <c r="B514" s="136"/>
    </row>
    <row r="515" spans="2:2" x14ac:dyDescent="0.2">
      <c r="B515" s="136"/>
    </row>
    <row r="516" spans="2:2" x14ac:dyDescent="0.2">
      <c r="B516" s="136"/>
    </row>
    <row r="517" spans="2:2" x14ac:dyDescent="0.2">
      <c r="B517" s="136"/>
    </row>
    <row r="518" spans="2:2" x14ac:dyDescent="0.2">
      <c r="B518" s="136"/>
    </row>
    <row r="519" spans="2:2" x14ac:dyDescent="0.2">
      <c r="B519" s="136"/>
    </row>
    <row r="520" spans="2:2" x14ac:dyDescent="0.2">
      <c r="B520" s="136"/>
    </row>
    <row r="521" spans="2:2" x14ac:dyDescent="0.2">
      <c r="B521" s="136"/>
    </row>
    <row r="522" spans="2:2" x14ac:dyDescent="0.2">
      <c r="B522" s="136"/>
    </row>
    <row r="523" spans="2:2" x14ac:dyDescent="0.2">
      <c r="B523" s="136"/>
    </row>
    <row r="524" spans="2:2" x14ac:dyDescent="0.2">
      <c r="B524" s="136"/>
    </row>
    <row r="525" spans="2:2" x14ac:dyDescent="0.2">
      <c r="B525" s="136"/>
    </row>
    <row r="526" spans="2:2" x14ac:dyDescent="0.2">
      <c r="B526" s="136"/>
    </row>
    <row r="527" spans="2:2" x14ac:dyDescent="0.2">
      <c r="B527" s="136"/>
    </row>
    <row r="528" spans="2:2" x14ac:dyDescent="0.2">
      <c r="B528" s="136"/>
    </row>
    <row r="529" spans="2:2" x14ac:dyDescent="0.2">
      <c r="B529" s="136"/>
    </row>
    <row r="530" spans="2:2" x14ac:dyDescent="0.2">
      <c r="B530" s="136"/>
    </row>
    <row r="531" spans="2:2" x14ac:dyDescent="0.2">
      <c r="B531" s="136"/>
    </row>
    <row r="532" spans="2:2" x14ac:dyDescent="0.2">
      <c r="B532" s="136"/>
    </row>
    <row r="533" spans="2:2" x14ac:dyDescent="0.2">
      <c r="B533" s="136"/>
    </row>
    <row r="534" spans="2:2" x14ac:dyDescent="0.2">
      <c r="B534" s="136"/>
    </row>
    <row r="535" spans="2:2" x14ac:dyDescent="0.2">
      <c r="B535" s="136"/>
    </row>
    <row r="536" spans="2:2" x14ac:dyDescent="0.2">
      <c r="B536" s="136"/>
    </row>
    <row r="537" spans="2:2" x14ac:dyDescent="0.2">
      <c r="B537" s="136"/>
    </row>
    <row r="538" spans="2:2" x14ac:dyDescent="0.2">
      <c r="B538" s="136"/>
    </row>
    <row r="539" spans="2:2" x14ac:dyDescent="0.2">
      <c r="B539" s="136"/>
    </row>
    <row r="540" spans="2:2" x14ac:dyDescent="0.2">
      <c r="B540" s="136"/>
    </row>
    <row r="541" spans="2:2" x14ac:dyDescent="0.2">
      <c r="B541" s="136"/>
    </row>
    <row r="542" spans="2:2" x14ac:dyDescent="0.2">
      <c r="B542" s="136"/>
    </row>
    <row r="543" spans="2:2" x14ac:dyDescent="0.2">
      <c r="B543" s="136"/>
    </row>
    <row r="544" spans="2:2" x14ac:dyDescent="0.2">
      <c r="B544" s="136"/>
    </row>
    <row r="545" spans="2:2" x14ac:dyDescent="0.2">
      <c r="B545" s="136"/>
    </row>
    <row r="546" spans="2:2" x14ac:dyDescent="0.2">
      <c r="B546" s="136"/>
    </row>
    <row r="547" spans="2:2" x14ac:dyDescent="0.2">
      <c r="B547" s="136"/>
    </row>
    <row r="548" spans="2:2" x14ac:dyDescent="0.2">
      <c r="B548" s="136"/>
    </row>
    <row r="549" spans="2:2" x14ac:dyDescent="0.2">
      <c r="B549" s="136"/>
    </row>
    <row r="550" spans="2:2" x14ac:dyDescent="0.2">
      <c r="B550" s="136"/>
    </row>
    <row r="551" spans="2:2" x14ac:dyDescent="0.2">
      <c r="B551" s="136"/>
    </row>
    <row r="552" spans="2:2" x14ac:dyDescent="0.2">
      <c r="B552" s="136"/>
    </row>
    <row r="553" spans="2:2" x14ac:dyDescent="0.2">
      <c r="B553" s="136"/>
    </row>
    <row r="554" spans="2:2" x14ac:dyDescent="0.2">
      <c r="B554" s="136"/>
    </row>
    <row r="555" spans="2:2" x14ac:dyDescent="0.2">
      <c r="B555" s="136"/>
    </row>
    <row r="556" spans="2:2" x14ac:dyDescent="0.2">
      <c r="B556" s="136"/>
    </row>
    <row r="557" spans="2:2" x14ac:dyDescent="0.2">
      <c r="B557" s="136"/>
    </row>
    <row r="558" spans="2:2" x14ac:dyDescent="0.2">
      <c r="B558" s="136"/>
    </row>
    <row r="559" spans="2:2" x14ac:dyDescent="0.2">
      <c r="B559" s="136"/>
    </row>
    <row r="560" spans="2:2" x14ac:dyDescent="0.2">
      <c r="B560" s="136"/>
    </row>
    <row r="561" spans="2:2" x14ac:dyDescent="0.2">
      <c r="B561" s="136"/>
    </row>
    <row r="562" spans="2:2" x14ac:dyDescent="0.2">
      <c r="B562" s="136"/>
    </row>
    <row r="563" spans="2:2" x14ac:dyDescent="0.2">
      <c r="B563" s="136"/>
    </row>
    <row r="564" spans="2:2" x14ac:dyDescent="0.2">
      <c r="B564" s="136"/>
    </row>
    <row r="565" spans="2:2" x14ac:dyDescent="0.2">
      <c r="B565" s="136"/>
    </row>
    <row r="566" spans="2:2" x14ac:dyDescent="0.2">
      <c r="B566" s="136"/>
    </row>
    <row r="567" spans="2:2" x14ac:dyDescent="0.2">
      <c r="B567" s="136"/>
    </row>
    <row r="568" spans="2:2" x14ac:dyDescent="0.2">
      <c r="B568" s="136"/>
    </row>
    <row r="569" spans="2:2" x14ac:dyDescent="0.2">
      <c r="B569" s="136"/>
    </row>
    <row r="570" spans="2:2" x14ac:dyDescent="0.2">
      <c r="B570" s="136"/>
    </row>
    <row r="571" spans="2:2" x14ac:dyDescent="0.2">
      <c r="B571" s="136"/>
    </row>
    <row r="572" spans="2:2" x14ac:dyDescent="0.2">
      <c r="B572" s="136"/>
    </row>
    <row r="573" spans="2:2" x14ac:dyDescent="0.2">
      <c r="B573" s="136"/>
    </row>
    <row r="574" spans="2:2" x14ac:dyDescent="0.2">
      <c r="B574" s="136"/>
    </row>
    <row r="575" spans="2:2" x14ac:dyDescent="0.2">
      <c r="B575" s="136"/>
    </row>
    <row r="576" spans="2:2" x14ac:dyDescent="0.2">
      <c r="B576" s="136"/>
    </row>
    <row r="577" spans="2:2" x14ac:dyDescent="0.2">
      <c r="B577" s="136"/>
    </row>
    <row r="578" spans="2:2" x14ac:dyDescent="0.2">
      <c r="B578" s="136"/>
    </row>
    <row r="579" spans="2:2" x14ac:dyDescent="0.2">
      <c r="B579" s="136"/>
    </row>
    <row r="580" spans="2:2" x14ac:dyDescent="0.2">
      <c r="B580" s="136"/>
    </row>
    <row r="581" spans="2:2" x14ac:dyDescent="0.2">
      <c r="B581" s="136"/>
    </row>
    <row r="582" spans="2:2" x14ac:dyDescent="0.2">
      <c r="B582" s="136"/>
    </row>
    <row r="583" spans="2:2" x14ac:dyDescent="0.2">
      <c r="B583" s="136"/>
    </row>
    <row r="584" spans="2:2" x14ac:dyDescent="0.2">
      <c r="B584" s="136"/>
    </row>
    <row r="585" spans="2:2" x14ac:dyDescent="0.2">
      <c r="B585" s="136"/>
    </row>
    <row r="586" spans="2:2" x14ac:dyDescent="0.2">
      <c r="B586" s="136"/>
    </row>
    <row r="587" spans="2:2" x14ac:dyDescent="0.2">
      <c r="B587" s="136"/>
    </row>
    <row r="588" spans="2:2" x14ac:dyDescent="0.2">
      <c r="B588" s="136"/>
    </row>
    <row r="589" spans="2:2" x14ac:dyDescent="0.2">
      <c r="B589" s="136"/>
    </row>
    <row r="590" spans="2:2" x14ac:dyDescent="0.2">
      <c r="B590" s="136"/>
    </row>
    <row r="591" spans="2:2" x14ac:dyDescent="0.2">
      <c r="B591" s="136"/>
    </row>
    <row r="592" spans="2:2" x14ac:dyDescent="0.2">
      <c r="B592" s="136"/>
    </row>
    <row r="593" spans="2:2" x14ac:dyDescent="0.2">
      <c r="B593" s="136"/>
    </row>
    <row r="594" spans="2:2" x14ac:dyDescent="0.2">
      <c r="B594" s="136"/>
    </row>
    <row r="595" spans="2:2" x14ac:dyDescent="0.2">
      <c r="B595" s="136"/>
    </row>
    <row r="596" spans="2:2" x14ac:dyDescent="0.2">
      <c r="B596" s="136"/>
    </row>
    <row r="597" spans="2:2" x14ac:dyDescent="0.2">
      <c r="B597" s="136"/>
    </row>
    <row r="598" spans="2:2" x14ac:dyDescent="0.2">
      <c r="B598" s="136"/>
    </row>
    <row r="599" spans="2:2" x14ac:dyDescent="0.2">
      <c r="B599" s="136"/>
    </row>
    <row r="600" spans="2:2" x14ac:dyDescent="0.2">
      <c r="B600" s="136"/>
    </row>
    <row r="601" spans="2:2" x14ac:dyDescent="0.2">
      <c r="B601" s="136"/>
    </row>
    <row r="602" spans="2:2" x14ac:dyDescent="0.2">
      <c r="B602" s="136"/>
    </row>
    <row r="603" spans="2:2" x14ac:dyDescent="0.2">
      <c r="B603" s="136"/>
    </row>
    <row r="604" spans="2:2" x14ac:dyDescent="0.2">
      <c r="B604" s="136"/>
    </row>
    <row r="605" spans="2:2" x14ac:dyDescent="0.2">
      <c r="B605" s="136"/>
    </row>
    <row r="606" spans="2:2" x14ac:dyDescent="0.2">
      <c r="B606" s="136"/>
    </row>
    <row r="607" spans="2:2" x14ac:dyDescent="0.2">
      <c r="B607" s="136"/>
    </row>
    <row r="608" spans="2:2" x14ac:dyDescent="0.2">
      <c r="B608" s="136"/>
    </row>
    <row r="609" spans="2:2" x14ac:dyDescent="0.2">
      <c r="B609" s="136"/>
    </row>
    <row r="610" spans="2:2" x14ac:dyDescent="0.2">
      <c r="B610" s="136"/>
    </row>
    <row r="611" spans="2:2" x14ac:dyDescent="0.2">
      <c r="B611" s="136"/>
    </row>
    <row r="612" spans="2:2" x14ac:dyDescent="0.2">
      <c r="B612" s="136"/>
    </row>
    <row r="613" spans="2:2" x14ac:dyDescent="0.2">
      <c r="B613" s="136"/>
    </row>
    <row r="614" spans="2:2" x14ac:dyDescent="0.2">
      <c r="B614" s="136"/>
    </row>
    <row r="615" spans="2:2" x14ac:dyDescent="0.2">
      <c r="B615" s="136"/>
    </row>
    <row r="616" spans="2:2" x14ac:dyDescent="0.2">
      <c r="B616" s="136"/>
    </row>
    <row r="617" spans="2:2" x14ac:dyDescent="0.2">
      <c r="B617" s="136"/>
    </row>
    <row r="618" spans="2:2" x14ac:dyDescent="0.2">
      <c r="B618" s="136"/>
    </row>
    <row r="619" spans="2:2" x14ac:dyDescent="0.2">
      <c r="B619" s="136"/>
    </row>
    <row r="620" spans="2:2" x14ac:dyDescent="0.2">
      <c r="B620" s="136"/>
    </row>
    <row r="621" spans="2:2" x14ac:dyDescent="0.2">
      <c r="B621" s="136"/>
    </row>
    <row r="622" spans="2:2" x14ac:dyDescent="0.2">
      <c r="B622" s="136"/>
    </row>
    <row r="623" spans="2:2" x14ac:dyDescent="0.2">
      <c r="B623" s="136"/>
    </row>
    <row r="624" spans="2:2" x14ac:dyDescent="0.2">
      <c r="B624" s="136"/>
    </row>
    <row r="625" spans="2:2" x14ac:dyDescent="0.2">
      <c r="B625" s="136"/>
    </row>
    <row r="626" spans="2:2" x14ac:dyDescent="0.2">
      <c r="B626" s="136"/>
    </row>
    <row r="627" spans="2:2" x14ac:dyDescent="0.2">
      <c r="B627" s="136"/>
    </row>
    <row r="628" spans="2:2" x14ac:dyDescent="0.2">
      <c r="B628" s="136"/>
    </row>
    <row r="629" spans="2:2" x14ac:dyDescent="0.2">
      <c r="B629" s="136"/>
    </row>
    <row r="630" spans="2:2" x14ac:dyDescent="0.2">
      <c r="B630" s="136"/>
    </row>
    <row r="631" spans="2:2" x14ac:dyDescent="0.2">
      <c r="B631" s="136"/>
    </row>
    <row r="632" spans="2:2" x14ac:dyDescent="0.2">
      <c r="B632" s="136"/>
    </row>
    <row r="633" spans="2:2" x14ac:dyDescent="0.2">
      <c r="B633" s="136"/>
    </row>
    <row r="634" spans="2:2" x14ac:dyDescent="0.2">
      <c r="B634" s="136"/>
    </row>
    <row r="635" spans="2:2" x14ac:dyDescent="0.2">
      <c r="B635" s="136"/>
    </row>
    <row r="636" spans="2:2" x14ac:dyDescent="0.2">
      <c r="B636" s="136"/>
    </row>
    <row r="637" spans="2:2" x14ac:dyDescent="0.2">
      <c r="B637" s="136"/>
    </row>
    <row r="638" spans="2:2" x14ac:dyDescent="0.2">
      <c r="B638" s="136"/>
    </row>
    <row r="639" spans="2:2" x14ac:dyDescent="0.2">
      <c r="B639" s="136"/>
    </row>
    <row r="640" spans="2:2" x14ac:dyDescent="0.2">
      <c r="B640" s="136"/>
    </row>
    <row r="641" spans="2:2" x14ac:dyDescent="0.2">
      <c r="B641" s="136"/>
    </row>
    <row r="642" spans="2:2" x14ac:dyDescent="0.2">
      <c r="B642" s="136"/>
    </row>
    <row r="643" spans="2:2" x14ac:dyDescent="0.2">
      <c r="B643" s="136"/>
    </row>
    <row r="644" spans="2:2" x14ac:dyDescent="0.2">
      <c r="B644" s="136"/>
    </row>
    <row r="645" spans="2:2" x14ac:dyDescent="0.2">
      <c r="B645" s="136"/>
    </row>
    <row r="646" spans="2:2" x14ac:dyDescent="0.2">
      <c r="B646" s="136"/>
    </row>
    <row r="647" spans="2:2" x14ac:dyDescent="0.2">
      <c r="B647" s="136"/>
    </row>
    <row r="648" spans="2:2" x14ac:dyDescent="0.2">
      <c r="B648" s="136"/>
    </row>
    <row r="649" spans="2:2" x14ac:dyDescent="0.2">
      <c r="B649" s="136"/>
    </row>
    <row r="650" spans="2:2" x14ac:dyDescent="0.2">
      <c r="B650" s="136"/>
    </row>
    <row r="651" spans="2:2" x14ac:dyDescent="0.2">
      <c r="B651" s="136"/>
    </row>
    <row r="652" spans="2:2" x14ac:dyDescent="0.2">
      <c r="B652" s="136"/>
    </row>
    <row r="653" spans="2:2" x14ac:dyDescent="0.2">
      <c r="B653" s="136"/>
    </row>
    <row r="654" spans="2:2" x14ac:dyDescent="0.2">
      <c r="B654" s="136"/>
    </row>
    <row r="655" spans="2:2" x14ac:dyDescent="0.2">
      <c r="B655" s="136"/>
    </row>
    <row r="656" spans="2:2" x14ac:dyDescent="0.2">
      <c r="B656" s="136"/>
    </row>
    <row r="657" spans="2:2" x14ac:dyDescent="0.2">
      <c r="B657" s="136"/>
    </row>
    <row r="658" spans="2:2" x14ac:dyDescent="0.2">
      <c r="B658" s="136"/>
    </row>
    <row r="659" spans="2:2" x14ac:dyDescent="0.2">
      <c r="B659" s="136"/>
    </row>
    <row r="660" spans="2:2" x14ac:dyDescent="0.2">
      <c r="B660" s="136"/>
    </row>
    <row r="661" spans="2:2" x14ac:dyDescent="0.2">
      <c r="B661" s="136"/>
    </row>
    <row r="662" spans="2:2" x14ac:dyDescent="0.2">
      <c r="B662" s="136"/>
    </row>
    <row r="663" spans="2:2" x14ac:dyDescent="0.2">
      <c r="B663" s="136"/>
    </row>
    <row r="664" spans="2:2" x14ac:dyDescent="0.2">
      <c r="B664" s="136"/>
    </row>
    <row r="665" spans="2:2" x14ac:dyDescent="0.2">
      <c r="B665" s="136"/>
    </row>
    <row r="666" spans="2:2" x14ac:dyDescent="0.2">
      <c r="B666" s="136"/>
    </row>
    <row r="667" spans="2:2" x14ac:dyDescent="0.2">
      <c r="B667" s="136"/>
    </row>
    <row r="668" spans="2:2" x14ac:dyDescent="0.2">
      <c r="B668" s="136"/>
    </row>
    <row r="669" spans="2:2" x14ac:dyDescent="0.2">
      <c r="B669" s="136"/>
    </row>
    <row r="670" spans="2:2" x14ac:dyDescent="0.2">
      <c r="B670" s="136"/>
    </row>
    <row r="671" spans="2:2" x14ac:dyDescent="0.2">
      <c r="B671" s="136"/>
    </row>
    <row r="672" spans="2:2" x14ac:dyDescent="0.2">
      <c r="B672" s="136"/>
    </row>
    <row r="673" spans="2:2" x14ac:dyDescent="0.2">
      <c r="B673" s="136"/>
    </row>
    <row r="674" spans="2:2" x14ac:dyDescent="0.2">
      <c r="B674" s="136"/>
    </row>
    <row r="675" spans="2:2" x14ac:dyDescent="0.2">
      <c r="B675" s="136"/>
    </row>
    <row r="676" spans="2:2" x14ac:dyDescent="0.2">
      <c r="B676" s="136"/>
    </row>
    <row r="677" spans="2:2" x14ac:dyDescent="0.2">
      <c r="B677" s="136"/>
    </row>
    <row r="678" spans="2:2" x14ac:dyDescent="0.2">
      <c r="B678" s="136"/>
    </row>
    <row r="679" spans="2:2" x14ac:dyDescent="0.2">
      <c r="B679" s="136"/>
    </row>
    <row r="680" spans="2:2" x14ac:dyDescent="0.2">
      <c r="B680" s="136"/>
    </row>
    <row r="681" spans="2:2" x14ac:dyDescent="0.2">
      <c r="B681" s="136"/>
    </row>
    <row r="682" spans="2:2" x14ac:dyDescent="0.2">
      <c r="B682" s="136"/>
    </row>
    <row r="683" spans="2:2" x14ac:dyDescent="0.2">
      <c r="B683" s="136"/>
    </row>
    <row r="684" spans="2:2" x14ac:dyDescent="0.2">
      <c r="B684" s="136"/>
    </row>
    <row r="685" spans="2:2" x14ac:dyDescent="0.2">
      <c r="B685" s="136"/>
    </row>
    <row r="686" spans="2:2" x14ac:dyDescent="0.2">
      <c r="B686" s="136"/>
    </row>
    <row r="687" spans="2:2" x14ac:dyDescent="0.2">
      <c r="B687" s="136"/>
    </row>
    <row r="688" spans="2:2" x14ac:dyDescent="0.2">
      <c r="B688" s="136"/>
    </row>
    <row r="689" spans="2:2" x14ac:dyDescent="0.2">
      <c r="B689" s="136"/>
    </row>
    <row r="690" spans="2:2" x14ac:dyDescent="0.2">
      <c r="B690" s="136"/>
    </row>
    <row r="691" spans="2:2" x14ac:dyDescent="0.2">
      <c r="B691" s="136"/>
    </row>
    <row r="692" spans="2:2" x14ac:dyDescent="0.2">
      <c r="B692" s="136"/>
    </row>
    <row r="693" spans="2:2" x14ac:dyDescent="0.2">
      <c r="B693" s="136"/>
    </row>
    <row r="694" spans="2:2" x14ac:dyDescent="0.2">
      <c r="B694" s="136"/>
    </row>
    <row r="695" spans="2:2" x14ac:dyDescent="0.2">
      <c r="B695" s="136"/>
    </row>
    <row r="696" spans="2:2" x14ac:dyDescent="0.2">
      <c r="B696" s="136"/>
    </row>
    <row r="697" spans="2:2" x14ac:dyDescent="0.2">
      <c r="B697" s="136"/>
    </row>
    <row r="698" spans="2:2" x14ac:dyDescent="0.2">
      <c r="B698" s="136"/>
    </row>
    <row r="699" spans="2:2" x14ac:dyDescent="0.2">
      <c r="B699" s="136"/>
    </row>
    <row r="700" spans="2:2" x14ac:dyDescent="0.2">
      <c r="B700" s="136"/>
    </row>
    <row r="701" spans="2:2" x14ac:dyDescent="0.2">
      <c r="B701" s="136"/>
    </row>
    <row r="702" spans="2:2" x14ac:dyDescent="0.2">
      <c r="B702" s="136"/>
    </row>
    <row r="703" spans="2:2" x14ac:dyDescent="0.2">
      <c r="B703" s="136"/>
    </row>
    <row r="704" spans="2:2" x14ac:dyDescent="0.2">
      <c r="B704" s="136"/>
    </row>
    <row r="705" spans="2:2" x14ac:dyDescent="0.2">
      <c r="B705" s="136"/>
    </row>
    <row r="706" spans="2:2" x14ac:dyDescent="0.2">
      <c r="B706" s="136"/>
    </row>
    <row r="707" spans="2:2" x14ac:dyDescent="0.2">
      <c r="B707" s="136"/>
    </row>
    <row r="708" spans="2:2" x14ac:dyDescent="0.2">
      <c r="B708" s="136"/>
    </row>
    <row r="709" spans="2:2" x14ac:dyDescent="0.2">
      <c r="B709" s="136"/>
    </row>
    <row r="710" spans="2:2" x14ac:dyDescent="0.2">
      <c r="B710" s="136"/>
    </row>
    <row r="711" spans="2:2" x14ac:dyDescent="0.2">
      <c r="B711" s="136"/>
    </row>
    <row r="712" spans="2:2" x14ac:dyDescent="0.2">
      <c r="B712" s="136"/>
    </row>
    <row r="713" spans="2:2" x14ac:dyDescent="0.2">
      <c r="B713" s="136"/>
    </row>
    <row r="714" spans="2:2" x14ac:dyDescent="0.2">
      <c r="B714" s="136"/>
    </row>
    <row r="715" spans="2:2" x14ac:dyDescent="0.2">
      <c r="B715" s="136"/>
    </row>
    <row r="716" spans="2:2" x14ac:dyDescent="0.2">
      <c r="B716" s="136"/>
    </row>
    <row r="717" spans="2:2" x14ac:dyDescent="0.2">
      <c r="B717" s="136"/>
    </row>
    <row r="718" spans="2:2" x14ac:dyDescent="0.2">
      <c r="B718" s="136"/>
    </row>
    <row r="719" spans="2:2" x14ac:dyDescent="0.2">
      <c r="B719" s="136"/>
    </row>
    <row r="720" spans="2:2" x14ac:dyDescent="0.2">
      <c r="B720" s="136"/>
    </row>
    <row r="721" spans="2:2" x14ac:dyDescent="0.2">
      <c r="B721" s="136"/>
    </row>
    <row r="722" spans="2:2" x14ac:dyDescent="0.2">
      <c r="B722" s="136"/>
    </row>
    <row r="723" spans="2:2" x14ac:dyDescent="0.2">
      <c r="B723" s="136"/>
    </row>
    <row r="724" spans="2:2" x14ac:dyDescent="0.2">
      <c r="B724" s="136"/>
    </row>
    <row r="725" spans="2:2" x14ac:dyDescent="0.2">
      <c r="B725" s="136"/>
    </row>
    <row r="726" spans="2:2" x14ac:dyDescent="0.2">
      <c r="B726" s="136"/>
    </row>
    <row r="727" spans="2:2" x14ac:dyDescent="0.2">
      <c r="B727" s="136"/>
    </row>
    <row r="728" spans="2:2" x14ac:dyDescent="0.2">
      <c r="B728" s="136"/>
    </row>
    <row r="729" spans="2:2" x14ac:dyDescent="0.2">
      <c r="B729" s="136"/>
    </row>
    <row r="730" spans="2:2" x14ac:dyDescent="0.2">
      <c r="B730" s="136"/>
    </row>
    <row r="731" spans="2:2" x14ac:dyDescent="0.2">
      <c r="B731" s="136"/>
    </row>
    <row r="732" spans="2:2" x14ac:dyDescent="0.2">
      <c r="B732" s="136"/>
    </row>
    <row r="733" spans="2:2" x14ac:dyDescent="0.2">
      <c r="B733" s="136"/>
    </row>
    <row r="734" spans="2:2" x14ac:dyDescent="0.2">
      <c r="B734" s="136"/>
    </row>
    <row r="735" spans="2:2" x14ac:dyDescent="0.2">
      <c r="B735" s="136"/>
    </row>
    <row r="736" spans="2:2" x14ac:dyDescent="0.2">
      <c r="B736" s="136"/>
    </row>
    <row r="737" spans="2:2" x14ac:dyDescent="0.2">
      <c r="B737" s="136"/>
    </row>
    <row r="738" spans="2:2" x14ac:dyDescent="0.2">
      <c r="B738" s="136"/>
    </row>
    <row r="739" spans="2:2" x14ac:dyDescent="0.2">
      <c r="B739" s="136"/>
    </row>
    <row r="740" spans="2:2" x14ac:dyDescent="0.2">
      <c r="B740" s="136"/>
    </row>
    <row r="741" spans="2:2" x14ac:dyDescent="0.2">
      <c r="B741" s="136"/>
    </row>
    <row r="742" spans="2:2" x14ac:dyDescent="0.2">
      <c r="B742" s="136"/>
    </row>
    <row r="743" spans="2:2" x14ac:dyDescent="0.2">
      <c r="B743" s="136"/>
    </row>
    <row r="744" spans="2:2" x14ac:dyDescent="0.2">
      <c r="B744" s="136"/>
    </row>
    <row r="745" spans="2:2" x14ac:dyDescent="0.2">
      <c r="B745" s="136"/>
    </row>
    <row r="746" spans="2:2" x14ac:dyDescent="0.2">
      <c r="B746" s="136"/>
    </row>
    <row r="747" spans="2:2" x14ac:dyDescent="0.2">
      <c r="B747" s="136"/>
    </row>
    <row r="748" spans="2:2" x14ac:dyDescent="0.2">
      <c r="B748" s="136"/>
    </row>
    <row r="749" spans="2:2" x14ac:dyDescent="0.2">
      <c r="B749" s="136"/>
    </row>
    <row r="750" spans="2:2" x14ac:dyDescent="0.2">
      <c r="B750" s="136"/>
    </row>
    <row r="751" spans="2:2" x14ac:dyDescent="0.2">
      <c r="B751" s="136"/>
    </row>
    <row r="752" spans="2:2" x14ac:dyDescent="0.2">
      <c r="B752" s="136"/>
    </row>
    <row r="753" spans="2:2" x14ac:dyDescent="0.2">
      <c r="B753" s="136"/>
    </row>
    <row r="754" spans="2:2" x14ac:dyDescent="0.2">
      <c r="B754" s="136"/>
    </row>
    <row r="755" spans="2:2" x14ac:dyDescent="0.2">
      <c r="B755" s="136"/>
    </row>
    <row r="756" spans="2:2" x14ac:dyDescent="0.2">
      <c r="B756" s="136"/>
    </row>
    <row r="757" spans="2:2" x14ac:dyDescent="0.2">
      <c r="B757" s="136"/>
    </row>
    <row r="758" spans="2:2" x14ac:dyDescent="0.2">
      <c r="B758" s="136"/>
    </row>
    <row r="759" spans="2:2" x14ac:dyDescent="0.2">
      <c r="B759" s="136"/>
    </row>
    <row r="760" spans="2:2" x14ac:dyDescent="0.2">
      <c r="B760" s="136"/>
    </row>
    <row r="761" spans="2:2" x14ac:dyDescent="0.2">
      <c r="B761" s="136"/>
    </row>
    <row r="762" spans="2:2" x14ac:dyDescent="0.2">
      <c r="B762" s="136"/>
    </row>
    <row r="763" spans="2:2" x14ac:dyDescent="0.2">
      <c r="B763" s="136"/>
    </row>
    <row r="764" spans="2:2" x14ac:dyDescent="0.2">
      <c r="B764" s="136"/>
    </row>
    <row r="765" spans="2:2" x14ac:dyDescent="0.2">
      <c r="B765" s="136"/>
    </row>
    <row r="766" spans="2:2" x14ac:dyDescent="0.2">
      <c r="B766" s="136"/>
    </row>
    <row r="767" spans="2:2" x14ac:dyDescent="0.2">
      <c r="B767" s="136"/>
    </row>
    <row r="768" spans="2:2" x14ac:dyDescent="0.2">
      <c r="B768" s="136"/>
    </row>
    <row r="769" spans="2:2" x14ac:dyDescent="0.2">
      <c r="B769" s="136"/>
    </row>
    <row r="770" spans="2:2" x14ac:dyDescent="0.2">
      <c r="B770" s="136"/>
    </row>
    <row r="771" spans="2:2" x14ac:dyDescent="0.2">
      <c r="B771" s="136"/>
    </row>
    <row r="772" spans="2:2" x14ac:dyDescent="0.2">
      <c r="B772" s="136"/>
    </row>
    <row r="773" spans="2:2" x14ac:dyDescent="0.2">
      <c r="B773" s="136"/>
    </row>
    <row r="774" spans="2:2" x14ac:dyDescent="0.2">
      <c r="B774" s="136"/>
    </row>
    <row r="775" spans="2:2" x14ac:dyDescent="0.2">
      <c r="B775" s="136"/>
    </row>
    <row r="776" spans="2:2" x14ac:dyDescent="0.2">
      <c r="B776" s="136"/>
    </row>
    <row r="777" spans="2:2" x14ac:dyDescent="0.2">
      <c r="B777" s="136"/>
    </row>
    <row r="778" spans="2:2" x14ac:dyDescent="0.2">
      <c r="B778" s="136"/>
    </row>
    <row r="779" spans="2:2" x14ac:dyDescent="0.2">
      <c r="B779" s="136"/>
    </row>
    <row r="780" spans="2:2" x14ac:dyDescent="0.2">
      <c r="B780" s="136"/>
    </row>
    <row r="781" spans="2:2" x14ac:dyDescent="0.2">
      <c r="B781" s="136"/>
    </row>
    <row r="782" spans="2:2" x14ac:dyDescent="0.2">
      <c r="B782" s="136"/>
    </row>
    <row r="783" spans="2:2" x14ac:dyDescent="0.2">
      <c r="B783" s="136"/>
    </row>
    <row r="784" spans="2:2" x14ac:dyDescent="0.2">
      <c r="B784" s="136"/>
    </row>
    <row r="785" spans="2:2" x14ac:dyDescent="0.2">
      <c r="B785" s="136"/>
    </row>
    <row r="786" spans="2:2" x14ac:dyDescent="0.2">
      <c r="B786" s="136"/>
    </row>
    <row r="787" spans="2:2" x14ac:dyDescent="0.2">
      <c r="B787" s="136"/>
    </row>
    <row r="788" spans="2:2" x14ac:dyDescent="0.2">
      <c r="B788" s="136"/>
    </row>
    <row r="789" spans="2:2" x14ac:dyDescent="0.2">
      <c r="B789" s="136"/>
    </row>
    <row r="790" spans="2:2" x14ac:dyDescent="0.2">
      <c r="B790" s="136"/>
    </row>
    <row r="791" spans="2:2" x14ac:dyDescent="0.2">
      <c r="B791" s="136"/>
    </row>
    <row r="792" spans="2:2" x14ac:dyDescent="0.2">
      <c r="B792" s="136"/>
    </row>
    <row r="793" spans="2:2" x14ac:dyDescent="0.2">
      <c r="B793" s="136"/>
    </row>
    <row r="794" spans="2:2" x14ac:dyDescent="0.2">
      <c r="B794" s="136"/>
    </row>
    <row r="795" spans="2:2" x14ac:dyDescent="0.2">
      <c r="B795" s="136"/>
    </row>
    <row r="796" spans="2:2" x14ac:dyDescent="0.2">
      <c r="B796" s="136"/>
    </row>
    <row r="797" spans="2:2" x14ac:dyDescent="0.2">
      <c r="B797" s="136"/>
    </row>
    <row r="798" spans="2:2" x14ac:dyDescent="0.2">
      <c r="B798" s="136"/>
    </row>
    <row r="799" spans="2:2" x14ac:dyDescent="0.2">
      <c r="B799" s="136"/>
    </row>
    <row r="800" spans="2:2" x14ac:dyDescent="0.2">
      <c r="B800" s="136"/>
    </row>
    <row r="801" spans="2:2" x14ac:dyDescent="0.2">
      <c r="B801" s="136"/>
    </row>
    <row r="802" spans="2:2" x14ac:dyDescent="0.2">
      <c r="B802" s="136"/>
    </row>
    <row r="803" spans="2:2" x14ac:dyDescent="0.2">
      <c r="B803" s="136"/>
    </row>
    <row r="804" spans="2:2" x14ac:dyDescent="0.2">
      <c r="B804" s="136"/>
    </row>
    <row r="805" spans="2:2" x14ac:dyDescent="0.2">
      <c r="B805" s="136"/>
    </row>
    <row r="806" spans="2:2" x14ac:dyDescent="0.2">
      <c r="B806" s="136"/>
    </row>
    <row r="807" spans="2:2" x14ac:dyDescent="0.2">
      <c r="B807" s="136"/>
    </row>
    <row r="808" spans="2:2" x14ac:dyDescent="0.2">
      <c r="B808" s="136"/>
    </row>
    <row r="809" spans="2:2" x14ac:dyDescent="0.2">
      <c r="B809" s="136"/>
    </row>
    <row r="810" spans="2:2" x14ac:dyDescent="0.2">
      <c r="B810" s="136"/>
    </row>
    <row r="811" spans="2:2" x14ac:dyDescent="0.2">
      <c r="B811" s="136"/>
    </row>
    <row r="812" spans="2:2" x14ac:dyDescent="0.2">
      <c r="B812" s="136"/>
    </row>
    <row r="813" spans="2:2" x14ac:dyDescent="0.2">
      <c r="B813" s="136"/>
    </row>
    <row r="814" spans="2:2" x14ac:dyDescent="0.2">
      <c r="B814" s="136"/>
    </row>
    <row r="815" spans="2:2" x14ac:dyDescent="0.2">
      <c r="B815" s="136"/>
    </row>
    <row r="816" spans="2:2" x14ac:dyDescent="0.2">
      <c r="B816" s="136"/>
    </row>
    <row r="817" spans="2:2" x14ac:dyDescent="0.2">
      <c r="B817" s="136"/>
    </row>
    <row r="818" spans="2:2" x14ac:dyDescent="0.2">
      <c r="B818" s="136"/>
    </row>
    <row r="819" spans="2:2" x14ac:dyDescent="0.2">
      <c r="B819" s="136"/>
    </row>
    <row r="820" spans="2:2" x14ac:dyDescent="0.2">
      <c r="B820" s="136"/>
    </row>
    <row r="821" spans="2:2" x14ac:dyDescent="0.2">
      <c r="B821" s="136"/>
    </row>
    <row r="822" spans="2:2" x14ac:dyDescent="0.2">
      <c r="B822" s="136"/>
    </row>
    <row r="823" spans="2:2" x14ac:dyDescent="0.2">
      <c r="B823" s="136"/>
    </row>
    <row r="824" spans="2:2" x14ac:dyDescent="0.2">
      <c r="B824" s="136"/>
    </row>
    <row r="825" spans="2:2" x14ac:dyDescent="0.2">
      <c r="B825" s="136"/>
    </row>
    <row r="826" spans="2:2" x14ac:dyDescent="0.2">
      <c r="B826" s="136"/>
    </row>
    <row r="827" spans="2:2" x14ac:dyDescent="0.2">
      <c r="B827" s="136"/>
    </row>
    <row r="828" spans="2:2" x14ac:dyDescent="0.2">
      <c r="B828" s="136"/>
    </row>
    <row r="829" spans="2:2" x14ac:dyDescent="0.2">
      <c r="B829" s="136"/>
    </row>
    <row r="830" spans="2:2" x14ac:dyDescent="0.2">
      <c r="B830" s="136"/>
    </row>
    <row r="831" spans="2:2" x14ac:dyDescent="0.2">
      <c r="B831" s="136"/>
    </row>
    <row r="832" spans="2:2" x14ac:dyDescent="0.2">
      <c r="B832" s="136"/>
    </row>
    <row r="833" spans="2:2" x14ac:dyDescent="0.2">
      <c r="B833" s="136"/>
    </row>
    <row r="834" spans="2:2" x14ac:dyDescent="0.2">
      <c r="B834" s="136"/>
    </row>
    <row r="835" spans="2:2" x14ac:dyDescent="0.2">
      <c r="B835" s="136"/>
    </row>
    <row r="836" spans="2:2" x14ac:dyDescent="0.2">
      <c r="B836" s="136"/>
    </row>
    <row r="837" spans="2:2" x14ac:dyDescent="0.2">
      <c r="B837" s="136"/>
    </row>
    <row r="838" spans="2:2" x14ac:dyDescent="0.2">
      <c r="B838" s="136"/>
    </row>
    <row r="839" spans="2:2" x14ac:dyDescent="0.2">
      <c r="B839" s="136"/>
    </row>
    <row r="840" spans="2:2" x14ac:dyDescent="0.2">
      <c r="B840" s="136"/>
    </row>
    <row r="841" spans="2:2" x14ac:dyDescent="0.2">
      <c r="B841" s="136"/>
    </row>
    <row r="842" spans="2:2" x14ac:dyDescent="0.2">
      <c r="B842" s="136"/>
    </row>
    <row r="843" spans="2:2" x14ac:dyDescent="0.2">
      <c r="B843" s="136"/>
    </row>
    <row r="844" spans="2:2" x14ac:dyDescent="0.2">
      <c r="B844" s="136"/>
    </row>
    <row r="845" spans="2:2" x14ac:dyDescent="0.2">
      <c r="B845" s="136"/>
    </row>
    <row r="846" spans="2:2" x14ac:dyDescent="0.2">
      <c r="B846" s="136"/>
    </row>
    <row r="847" spans="2:2" x14ac:dyDescent="0.2">
      <c r="B847" s="136"/>
    </row>
    <row r="848" spans="2:2" x14ac:dyDescent="0.2">
      <c r="B848" s="136"/>
    </row>
    <row r="849" spans="2:2" x14ac:dyDescent="0.2">
      <c r="B849" s="136"/>
    </row>
    <row r="850" spans="2:2" x14ac:dyDescent="0.2">
      <c r="B850" s="136"/>
    </row>
    <row r="851" spans="2:2" x14ac:dyDescent="0.2">
      <c r="B851" s="136"/>
    </row>
    <row r="852" spans="2:2" x14ac:dyDescent="0.2">
      <c r="B852" s="136"/>
    </row>
    <row r="853" spans="2:2" x14ac:dyDescent="0.2">
      <c r="B853" s="136"/>
    </row>
    <row r="854" spans="2:2" x14ac:dyDescent="0.2">
      <c r="B854" s="136"/>
    </row>
    <row r="855" spans="2:2" x14ac:dyDescent="0.2">
      <c r="B855" s="136"/>
    </row>
    <row r="856" spans="2:2" x14ac:dyDescent="0.2">
      <c r="B856" s="136"/>
    </row>
    <row r="857" spans="2:2" x14ac:dyDescent="0.2">
      <c r="B857" s="136"/>
    </row>
    <row r="858" spans="2:2" x14ac:dyDescent="0.2">
      <c r="B858" s="136"/>
    </row>
    <row r="859" spans="2:2" x14ac:dyDescent="0.2">
      <c r="B859" s="136"/>
    </row>
    <row r="860" spans="2:2" x14ac:dyDescent="0.2">
      <c r="B860" s="136"/>
    </row>
    <row r="861" spans="2:2" x14ac:dyDescent="0.2">
      <c r="B861" s="136"/>
    </row>
    <row r="862" spans="2:2" x14ac:dyDescent="0.2">
      <c r="B862" s="136"/>
    </row>
    <row r="863" spans="2:2" x14ac:dyDescent="0.2">
      <c r="B863" s="136"/>
    </row>
    <row r="864" spans="2:2" x14ac:dyDescent="0.2">
      <c r="B864" s="136"/>
    </row>
    <row r="865" spans="2:2" x14ac:dyDescent="0.2">
      <c r="B865" s="136"/>
    </row>
    <row r="866" spans="2:2" x14ac:dyDescent="0.2">
      <c r="B866" s="136"/>
    </row>
    <row r="867" spans="2:2" x14ac:dyDescent="0.2">
      <c r="B867" s="136"/>
    </row>
    <row r="868" spans="2:2" x14ac:dyDescent="0.2">
      <c r="B868" s="136"/>
    </row>
    <row r="869" spans="2:2" x14ac:dyDescent="0.2">
      <c r="B869" s="136"/>
    </row>
    <row r="870" spans="2:2" x14ac:dyDescent="0.2">
      <c r="B870" s="136"/>
    </row>
    <row r="871" spans="2:2" x14ac:dyDescent="0.2">
      <c r="B871" s="136"/>
    </row>
    <row r="872" spans="2:2" x14ac:dyDescent="0.2">
      <c r="B872" s="136"/>
    </row>
    <row r="873" spans="2:2" x14ac:dyDescent="0.2">
      <c r="B873" s="136"/>
    </row>
    <row r="874" spans="2:2" x14ac:dyDescent="0.2">
      <c r="B874" s="136"/>
    </row>
    <row r="875" spans="2:2" x14ac:dyDescent="0.2">
      <c r="B875" s="136"/>
    </row>
    <row r="876" spans="2:2" x14ac:dyDescent="0.2">
      <c r="B876" s="136"/>
    </row>
    <row r="877" spans="2:2" x14ac:dyDescent="0.2">
      <c r="B877" s="136"/>
    </row>
    <row r="878" spans="2:2" x14ac:dyDescent="0.2">
      <c r="B878" s="136"/>
    </row>
    <row r="879" spans="2:2" x14ac:dyDescent="0.2">
      <c r="B879" s="136"/>
    </row>
    <row r="880" spans="2:2" x14ac:dyDescent="0.2">
      <c r="B880" s="136"/>
    </row>
    <row r="881" spans="2:2" x14ac:dyDescent="0.2">
      <c r="B881" s="136"/>
    </row>
    <row r="882" spans="2:2" x14ac:dyDescent="0.2">
      <c r="B882" s="136"/>
    </row>
    <row r="883" spans="2:2" x14ac:dyDescent="0.2">
      <c r="B883" s="136"/>
    </row>
    <row r="884" spans="2:2" x14ac:dyDescent="0.2">
      <c r="B884" s="136"/>
    </row>
    <row r="885" spans="2:2" x14ac:dyDescent="0.2">
      <c r="B885" s="136"/>
    </row>
    <row r="886" spans="2:2" x14ac:dyDescent="0.2">
      <c r="B886" s="136"/>
    </row>
    <row r="887" spans="2:2" x14ac:dyDescent="0.2">
      <c r="B887" s="136"/>
    </row>
    <row r="888" spans="2:2" x14ac:dyDescent="0.2">
      <c r="B888" s="136"/>
    </row>
    <row r="889" spans="2:2" x14ac:dyDescent="0.2">
      <c r="B889" s="136"/>
    </row>
    <row r="890" spans="2:2" x14ac:dyDescent="0.2">
      <c r="B890" s="136"/>
    </row>
    <row r="891" spans="2:2" x14ac:dyDescent="0.2">
      <c r="B891" s="136"/>
    </row>
    <row r="892" spans="2:2" x14ac:dyDescent="0.2">
      <c r="B892" s="136"/>
    </row>
    <row r="893" spans="2:2" x14ac:dyDescent="0.2">
      <c r="B893" s="136"/>
    </row>
    <row r="894" spans="2:2" x14ac:dyDescent="0.2">
      <c r="B894" s="136"/>
    </row>
    <row r="895" spans="2:2" x14ac:dyDescent="0.2">
      <c r="B895" s="136"/>
    </row>
    <row r="896" spans="2:2" x14ac:dyDescent="0.2">
      <c r="B896" s="136"/>
    </row>
    <row r="897" spans="2:2" x14ac:dyDescent="0.2">
      <c r="B897" s="136"/>
    </row>
    <row r="898" spans="2:2" x14ac:dyDescent="0.2">
      <c r="B898" s="136"/>
    </row>
    <row r="899" spans="2:2" x14ac:dyDescent="0.2">
      <c r="B899" s="136"/>
    </row>
    <row r="900" spans="2:2" x14ac:dyDescent="0.2">
      <c r="B900" s="136"/>
    </row>
    <row r="901" spans="2:2" x14ac:dyDescent="0.2">
      <c r="B901" s="136"/>
    </row>
    <row r="902" spans="2:2" x14ac:dyDescent="0.2">
      <c r="B902" s="136"/>
    </row>
    <row r="903" spans="2:2" x14ac:dyDescent="0.2">
      <c r="B903" s="136"/>
    </row>
    <row r="904" spans="2:2" x14ac:dyDescent="0.2">
      <c r="B904" s="136"/>
    </row>
    <row r="905" spans="2:2" x14ac:dyDescent="0.2">
      <c r="B905" s="136"/>
    </row>
    <row r="906" spans="2:2" x14ac:dyDescent="0.2">
      <c r="B906" s="136"/>
    </row>
    <row r="907" spans="2:2" x14ac:dyDescent="0.2">
      <c r="B907" s="136"/>
    </row>
    <row r="908" spans="2:2" x14ac:dyDescent="0.2">
      <c r="B908" s="136"/>
    </row>
    <row r="909" spans="2:2" x14ac:dyDescent="0.2">
      <c r="B909" s="136"/>
    </row>
    <row r="910" spans="2:2" x14ac:dyDescent="0.2">
      <c r="B910" s="136"/>
    </row>
    <row r="911" spans="2:2" x14ac:dyDescent="0.2">
      <c r="B911" s="136"/>
    </row>
    <row r="912" spans="2:2" x14ac:dyDescent="0.2">
      <c r="B912" s="136"/>
    </row>
    <row r="913" spans="2:2" x14ac:dyDescent="0.2">
      <c r="B913" s="136"/>
    </row>
    <row r="914" spans="2:2" x14ac:dyDescent="0.2">
      <c r="B914" s="136"/>
    </row>
    <row r="915" spans="2:2" x14ac:dyDescent="0.2">
      <c r="B915" s="136"/>
    </row>
    <row r="916" spans="2:2" x14ac:dyDescent="0.2">
      <c r="B916" s="136"/>
    </row>
    <row r="917" spans="2:2" x14ac:dyDescent="0.2">
      <c r="B917" s="136"/>
    </row>
    <row r="918" spans="2:2" x14ac:dyDescent="0.2">
      <c r="B918" s="136"/>
    </row>
    <row r="919" spans="2:2" x14ac:dyDescent="0.2">
      <c r="B919" s="136"/>
    </row>
    <row r="920" spans="2:2" x14ac:dyDescent="0.2">
      <c r="B920" s="136"/>
    </row>
    <row r="921" spans="2:2" x14ac:dyDescent="0.2">
      <c r="B921" s="136"/>
    </row>
    <row r="922" spans="2:2" x14ac:dyDescent="0.2">
      <c r="B922" s="136"/>
    </row>
    <row r="923" spans="2:2" x14ac:dyDescent="0.2">
      <c r="B923" s="136"/>
    </row>
    <row r="924" spans="2:2" x14ac:dyDescent="0.2">
      <c r="B924" s="136"/>
    </row>
    <row r="925" spans="2:2" x14ac:dyDescent="0.2">
      <c r="B925" s="136"/>
    </row>
    <row r="926" spans="2:2" x14ac:dyDescent="0.2">
      <c r="B926" s="136"/>
    </row>
    <row r="927" spans="2:2" x14ac:dyDescent="0.2">
      <c r="B927" s="136"/>
    </row>
    <row r="928" spans="2:2" x14ac:dyDescent="0.2">
      <c r="B928" s="136"/>
    </row>
    <row r="929" spans="2:2" x14ac:dyDescent="0.2">
      <c r="B929" s="136"/>
    </row>
    <row r="930" spans="2:2" x14ac:dyDescent="0.2">
      <c r="B930" s="136"/>
    </row>
    <row r="931" spans="2:2" x14ac:dyDescent="0.2">
      <c r="B931" s="136"/>
    </row>
    <row r="932" spans="2:2" x14ac:dyDescent="0.2">
      <c r="B932" s="136"/>
    </row>
    <row r="933" spans="2:2" x14ac:dyDescent="0.2">
      <c r="B933" s="136"/>
    </row>
    <row r="934" spans="2:2" x14ac:dyDescent="0.2">
      <c r="B934" s="136"/>
    </row>
    <row r="935" spans="2:2" x14ac:dyDescent="0.2">
      <c r="B935" s="136"/>
    </row>
    <row r="936" spans="2:2" x14ac:dyDescent="0.2">
      <c r="B936" s="136"/>
    </row>
    <row r="937" spans="2:2" x14ac:dyDescent="0.2">
      <c r="B937" s="136"/>
    </row>
    <row r="938" spans="2:2" x14ac:dyDescent="0.2">
      <c r="B938" s="136"/>
    </row>
    <row r="939" spans="2:2" x14ac:dyDescent="0.2">
      <c r="B939" s="136"/>
    </row>
    <row r="940" spans="2:2" x14ac:dyDescent="0.2">
      <c r="B940" s="136"/>
    </row>
    <row r="941" spans="2:2" x14ac:dyDescent="0.2">
      <c r="B941" s="136"/>
    </row>
    <row r="942" spans="2:2" x14ac:dyDescent="0.2">
      <c r="B942" s="136"/>
    </row>
    <row r="943" spans="2:2" x14ac:dyDescent="0.2">
      <c r="B943" s="136"/>
    </row>
    <row r="944" spans="2:2" x14ac:dyDescent="0.2">
      <c r="B944" s="136"/>
    </row>
    <row r="945" spans="2:2" x14ac:dyDescent="0.2">
      <c r="B945" s="136"/>
    </row>
    <row r="946" spans="2:2" x14ac:dyDescent="0.2">
      <c r="B946" s="136"/>
    </row>
    <row r="947" spans="2:2" x14ac:dyDescent="0.2">
      <c r="B947" s="136"/>
    </row>
    <row r="948" spans="2:2" x14ac:dyDescent="0.2">
      <c r="B948" s="136"/>
    </row>
    <row r="949" spans="2:2" x14ac:dyDescent="0.2">
      <c r="B949" s="136"/>
    </row>
    <row r="950" spans="2:2" x14ac:dyDescent="0.2">
      <c r="B950" s="136"/>
    </row>
    <row r="951" spans="2:2" x14ac:dyDescent="0.2">
      <c r="B951" s="136"/>
    </row>
    <row r="952" spans="2:2" x14ac:dyDescent="0.2">
      <c r="B952" s="136"/>
    </row>
    <row r="953" spans="2:2" x14ac:dyDescent="0.2">
      <c r="B953" s="136"/>
    </row>
    <row r="954" spans="2:2" x14ac:dyDescent="0.2">
      <c r="B954" s="136"/>
    </row>
    <row r="955" spans="2:2" x14ac:dyDescent="0.2">
      <c r="B955" s="136"/>
    </row>
    <row r="956" spans="2:2" x14ac:dyDescent="0.2">
      <c r="B956" s="136"/>
    </row>
    <row r="957" spans="2:2" x14ac:dyDescent="0.2">
      <c r="B957" s="136"/>
    </row>
    <row r="958" spans="2:2" x14ac:dyDescent="0.2">
      <c r="B958" s="136"/>
    </row>
    <row r="959" spans="2:2" x14ac:dyDescent="0.2">
      <c r="B959" s="136"/>
    </row>
    <row r="960" spans="2:2" x14ac:dyDescent="0.2">
      <c r="B960" s="136"/>
    </row>
    <row r="961" spans="2:2" x14ac:dyDescent="0.2">
      <c r="B961" s="136"/>
    </row>
    <row r="962" spans="2:2" x14ac:dyDescent="0.2">
      <c r="B962" s="136"/>
    </row>
    <row r="963" spans="2:2" x14ac:dyDescent="0.2">
      <c r="B963" s="136"/>
    </row>
    <row r="964" spans="2:2" x14ac:dyDescent="0.2">
      <c r="B964" s="136"/>
    </row>
    <row r="965" spans="2:2" x14ac:dyDescent="0.2">
      <c r="B965" s="136"/>
    </row>
    <row r="966" spans="2:2" x14ac:dyDescent="0.2">
      <c r="B966" s="136"/>
    </row>
    <row r="967" spans="2:2" x14ac:dyDescent="0.2">
      <c r="B967" s="136"/>
    </row>
    <row r="968" spans="2:2" x14ac:dyDescent="0.2">
      <c r="B968" s="136"/>
    </row>
    <row r="969" spans="2:2" x14ac:dyDescent="0.2">
      <c r="B969" s="136"/>
    </row>
    <row r="970" spans="2:2" x14ac:dyDescent="0.2">
      <c r="B970" s="136"/>
    </row>
    <row r="971" spans="2:2" x14ac:dyDescent="0.2">
      <c r="B971" s="136"/>
    </row>
    <row r="972" spans="2:2" x14ac:dyDescent="0.2">
      <c r="B972" s="136"/>
    </row>
    <row r="973" spans="2:2" x14ac:dyDescent="0.2">
      <c r="B973" s="136"/>
    </row>
    <row r="974" spans="2:2" x14ac:dyDescent="0.2">
      <c r="B974" s="136"/>
    </row>
    <row r="975" spans="2:2" x14ac:dyDescent="0.2">
      <c r="B975" s="136"/>
    </row>
    <row r="976" spans="2:2" x14ac:dyDescent="0.2">
      <c r="B976" s="136"/>
    </row>
    <row r="977" spans="2:2" x14ac:dyDescent="0.2">
      <c r="B977" s="136"/>
    </row>
    <row r="978" spans="2:2" x14ac:dyDescent="0.2">
      <c r="B978" s="136"/>
    </row>
    <row r="979" spans="2:2" x14ac:dyDescent="0.2">
      <c r="B979" s="136"/>
    </row>
    <row r="980" spans="2:2" x14ac:dyDescent="0.2">
      <c r="B980" s="136"/>
    </row>
    <row r="981" spans="2:2" x14ac:dyDescent="0.2">
      <c r="B981" s="136"/>
    </row>
    <row r="982" spans="2:2" x14ac:dyDescent="0.2">
      <c r="B982" s="136"/>
    </row>
    <row r="983" spans="2:2" x14ac:dyDescent="0.2">
      <c r="B983" s="136"/>
    </row>
    <row r="984" spans="2:2" x14ac:dyDescent="0.2">
      <c r="B984" s="136"/>
    </row>
    <row r="985" spans="2:2" x14ac:dyDescent="0.2">
      <c r="B985" s="136"/>
    </row>
    <row r="986" spans="2:2" x14ac:dyDescent="0.2">
      <c r="B986" s="136"/>
    </row>
    <row r="987" spans="2:2" x14ac:dyDescent="0.2">
      <c r="B987" s="136"/>
    </row>
    <row r="988" spans="2:2" x14ac:dyDescent="0.2">
      <c r="B988" s="136"/>
    </row>
    <row r="989" spans="2:2" x14ac:dyDescent="0.2">
      <c r="B989" s="136"/>
    </row>
    <row r="990" spans="2:2" x14ac:dyDescent="0.2">
      <c r="B990" s="136"/>
    </row>
    <row r="991" spans="2:2" x14ac:dyDescent="0.2">
      <c r="B991" s="136"/>
    </row>
    <row r="992" spans="2:2" x14ac:dyDescent="0.2">
      <c r="B992" s="136"/>
    </row>
    <row r="993" spans="2:2" x14ac:dyDescent="0.2">
      <c r="B993" s="136"/>
    </row>
    <row r="994" spans="2:2" x14ac:dyDescent="0.2">
      <c r="B994" s="136"/>
    </row>
    <row r="995" spans="2:2" x14ac:dyDescent="0.2">
      <c r="B995" s="136"/>
    </row>
    <row r="996" spans="2:2" x14ac:dyDescent="0.2">
      <c r="B996" s="136"/>
    </row>
    <row r="997" spans="2:2" x14ac:dyDescent="0.2">
      <c r="B997" s="136"/>
    </row>
    <row r="998" spans="2:2" x14ac:dyDescent="0.2">
      <c r="B998" s="136"/>
    </row>
    <row r="999" spans="2:2" x14ac:dyDescent="0.2">
      <c r="B999" s="136"/>
    </row>
    <row r="1000" spans="2:2" x14ac:dyDescent="0.2">
      <c r="B1000" s="136"/>
    </row>
    <row r="1001" spans="2:2" x14ac:dyDescent="0.2">
      <c r="B1001" s="136"/>
    </row>
    <row r="1002" spans="2:2" x14ac:dyDescent="0.2">
      <c r="B1002" s="136"/>
    </row>
    <row r="1003" spans="2:2" x14ac:dyDescent="0.2">
      <c r="B1003" s="136"/>
    </row>
    <row r="1004" spans="2:2" x14ac:dyDescent="0.2">
      <c r="B1004" s="136"/>
    </row>
    <row r="1005" spans="2:2" x14ac:dyDescent="0.2">
      <c r="B1005" s="136"/>
    </row>
    <row r="1006" spans="2:2" x14ac:dyDescent="0.2">
      <c r="B1006" s="136"/>
    </row>
    <row r="1007" spans="2:2" x14ac:dyDescent="0.2">
      <c r="B1007" s="136"/>
    </row>
    <row r="1008" spans="2:2" x14ac:dyDescent="0.2">
      <c r="B1008" s="136"/>
    </row>
    <row r="1009" spans="2:2" x14ac:dyDescent="0.2">
      <c r="B1009" s="136"/>
    </row>
    <row r="1010" spans="2:2" x14ac:dyDescent="0.2">
      <c r="B1010" s="136"/>
    </row>
    <row r="1011" spans="2:2" x14ac:dyDescent="0.2">
      <c r="B1011" s="136"/>
    </row>
    <row r="1012" spans="2:2" x14ac:dyDescent="0.2">
      <c r="B1012" s="136"/>
    </row>
    <row r="1013" spans="2:2" x14ac:dyDescent="0.2">
      <c r="B1013" s="136"/>
    </row>
    <row r="1014" spans="2:2" x14ac:dyDescent="0.2">
      <c r="B1014" s="136"/>
    </row>
    <row r="1015" spans="2:2" x14ac:dyDescent="0.2">
      <c r="B1015" s="136"/>
    </row>
    <row r="1016" spans="2:2" x14ac:dyDescent="0.2">
      <c r="B1016" s="136"/>
    </row>
    <row r="1017" spans="2:2" x14ac:dyDescent="0.2">
      <c r="B1017" s="136"/>
    </row>
    <row r="1018" spans="2:2" x14ac:dyDescent="0.2">
      <c r="B1018" s="136"/>
    </row>
    <row r="1019" spans="2:2" x14ac:dyDescent="0.2">
      <c r="B1019" s="136"/>
    </row>
    <row r="1020" spans="2:2" x14ac:dyDescent="0.2">
      <c r="B1020" s="136"/>
    </row>
    <row r="1021" spans="2:2" x14ac:dyDescent="0.2">
      <c r="B1021" s="136"/>
    </row>
    <row r="1022" spans="2:2" x14ac:dyDescent="0.2">
      <c r="B1022" s="136"/>
    </row>
    <row r="1023" spans="2:2" x14ac:dyDescent="0.2">
      <c r="B1023" s="136"/>
    </row>
    <row r="1024" spans="2:2" x14ac:dyDescent="0.2">
      <c r="B1024" s="136"/>
    </row>
    <row r="1025" spans="2:2" x14ac:dyDescent="0.2">
      <c r="B1025" s="136"/>
    </row>
    <row r="1026" spans="2:2" x14ac:dyDescent="0.2">
      <c r="B1026" s="136"/>
    </row>
    <row r="1027" spans="2:2" x14ac:dyDescent="0.2">
      <c r="B1027" s="136"/>
    </row>
    <row r="1028" spans="2:2" x14ac:dyDescent="0.2">
      <c r="B1028" s="136"/>
    </row>
    <row r="1029" spans="2:2" x14ac:dyDescent="0.2">
      <c r="B1029" s="136"/>
    </row>
    <row r="1030" spans="2:2" x14ac:dyDescent="0.2">
      <c r="B1030" s="136"/>
    </row>
    <row r="1031" spans="2:2" x14ac:dyDescent="0.2">
      <c r="B1031" s="136"/>
    </row>
    <row r="1032" spans="2:2" x14ac:dyDescent="0.2">
      <c r="B1032" s="136"/>
    </row>
    <row r="1033" spans="2:2" x14ac:dyDescent="0.2">
      <c r="B1033" s="136"/>
    </row>
    <row r="1034" spans="2:2" x14ac:dyDescent="0.2">
      <c r="B1034" s="136"/>
    </row>
    <row r="1035" spans="2:2" x14ac:dyDescent="0.2">
      <c r="B1035" s="136"/>
    </row>
    <row r="1036" spans="2:2" x14ac:dyDescent="0.2">
      <c r="B1036" s="136"/>
    </row>
    <row r="1037" spans="2:2" x14ac:dyDescent="0.2">
      <c r="B1037" s="136"/>
    </row>
    <row r="1038" spans="2:2" x14ac:dyDescent="0.2">
      <c r="B1038" s="136"/>
    </row>
    <row r="1039" spans="2:2" x14ac:dyDescent="0.2">
      <c r="B1039" s="136"/>
    </row>
    <row r="1040" spans="2:2" x14ac:dyDescent="0.2">
      <c r="B1040" s="136"/>
    </row>
    <row r="1041" spans="2:2" x14ac:dyDescent="0.2">
      <c r="B1041" s="136"/>
    </row>
    <row r="1042" spans="2:2" x14ac:dyDescent="0.2">
      <c r="B1042" s="136"/>
    </row>
    <row r="1043" spans="2:2" x14ac:dyDescent="0.2">
      <c r="B1043" s="136"/>
    </row>
    <row r="1044" spans="2:2" x14ac:dyDescent="0.2">
      <c r="B1044" s="136"/>
    </row>
    <row r="1045" spans="2:2" x14ac:dyDescent="0.2">
      <c r="B1045" s="136"/>
    </row>
    <row r="1046" spans="2:2" x14ac:dyDescent="0.2">
      <c r="B1046" s="136"/>
    </row>
    <row r="1047" spans="2:2" x14ac:dyDescent="0.2">
      <c r="B1047" s="136"/>
    </row>
    <row r="1048" spans="2:2" x14ac:dyDescent="0.2">
      <c r="B1048" s="136"/>
    </row>
    <row r="1049" spans="2:2" x14ac:dyDescent="0.2">
      <c r="B1049" s="136"/>
    </row>
    <row r="1050" spans="2:2" x14ac:dyDescent="0.2">
      <c r="B1050" s="136"/>
    </row>
    <row r="1051" spans="2:2" x14ac:dyDescent="0.2">
      <c r="B1051" s="136"/>
    </row>
    <row r="1052" spans="2:2" x14ac:dyDescent="0.2">
      <c r="B1052" s="136"/>
    </row>
    <row r="1053" spans="2:2" x14ac:dyDescent="0.2">
      <c r="B1053" s="136"/>
    </row>
    <row r="1054" spans="2:2" x14ac:dyDescent="0.2">
      <c r="B1054" s="136"/>
    </row>
    <row r="1055" spans="2:2" x14ac:dyDescent="0.2">
      <c r="B1055" s="136"/>
    </row>
    <row r="1056" spans="2:2" x14ac:dyDescent="0.2">
      <c r="B1056" s="136"/>
    </row>
    <row r="1057" spans="2:2" x14ac:dyDescent="0.2">
      <c r="B1057" s="136"/>
    </row>
    <row r="1058" spans="2:2" x14ac:dyDescent="0.2">
      <c r="B1058" s="136"/>
    </row>
    <row r="1059" spans="2:2" x14ac:dyDescent="0.2">
      <c r="B1059" s="136"/>
    </row>
    <row r="1060" spans="2:2" x14ac:dyDescent="0.2">
      <c r="B1060" s="136"/>
    </row>
    <row r="1061" spans="2:2" x14ac:dyDescent="0.2">
      <c r="B1061" s="136"/>
    </row>
    <row r="1062" spans="2:2" x14ac:dyDescent="0.2">
      <c r="B1062" s="136"/>
    </row>
    <row r="1063" spans="2:2" x14ac:dyDescent="0.2">
      <c r="B1063" s="136"/>
    </row>
    <row r="1064" spans="2:2" x14ac:dyDescent="0.2">
      <c r="B1064" s="136"/>
    </row>
    <row r="1065" spans="2:2" x14ac:dyDescent="0.2">
      <c r="B1065" s="136"/>
    </row>
    <row r="1066" spans="2:2" x14ac:dyDescent="0.2">
      <c r="B1066" s="136"/>
    </row>
    <row r="1067" spans="2:2" x14ac:dyDescent="0.2">
      <c r="B1067" s="136"/>
    </row>
    <row r="1068" spans="2:2" x14ac:dyDescent="0.2">
      <c r="B1068" s="136"/>
    </row>
    <row r="1069" spans="2:2" x14ac:dyDescent="0.2">
      <c r="B1069" s="136"/>
    </row>
    <row r="1070" spans="2:2" x14ac:dyDescent="0.2">
      <c r="B1070" s="136"/>
    </row>
    <row r="1071" spans="2:2" x14ac:dyDescent="0.2">
      <c r="B1071" s="136"/>
    </row>
    <row r="1072" spans="2:2" x14ac:dyDescent="0.2">
      <c r="B1072" s="136"/>
    </row>
    <row r="1073" spans="2:2" x14ac:dyDescent="0.2">
      <c r="B1073" s="136"/>
    </row>
    <row r="1074" spans="2:2" x14ac:dyDescent="0.2">
      <c r="B1074" s="136"/>
    </row>
    <row r="1075" spans="2:2" x14ac:dyDescent="0.2">
      <c r="B1075" s="136"/>
    </row>
    <row r="1076" spans="2:2" x14ac:dyDescent="0.2">
      <c r="B1076" s="136"/>
    </row>
    <row r="1077" spans="2:2" x14ac:dyDescent="0.2">
      <c r="B1077" s="136"/>
    </row>
    <row r="1078" spans="2:2" x14ac:dyDescent="0.2">
      <c r="B1078" s="136"/>
    </row>
    <row r="1079" spans="2:2" x14ac:dyDescent="0.2">
      <c r="B1079" s="136"/>
    </row>
    <row r="1080" spans="2:2" x14ac:dyDescent="0.2">
      <c r="B1080" s="136"/>
    </row>
    <row r="1081" spans="2:2" x14ac:dyDescent="0.2">
      <c r="B1081" s="136"/>
    </row>
    <row r="1082" spans="2:2" x14ac:dyDescent="0.2">
      <c r="B1082" s="136"/>
    </row>
    <row r="1083" spans="2:2" x14ac:dyDescent="0.2">
      <c r="B1083" s="136"/>
    </row>
    <row r="1084" spans="2:2" x14ac:dyDescent="0.2">
      <c r="B1084" s="136"/>
    </row>
    <row r="1085" spans="2:2" x14ac:dyDescent="0.2">
      <c r="B1085" s="136"/>
    </row>
    <row r="1086" spans="2:2" x14ac:dyDescent="0.2">
      <c r="B1086" s="136"/>
    </row>
    <row r="1087" spans="2:2" x14ac:dyDescent="0.2">
      <c r="B1087" s="136"/>
    </row>
    <row r="1088" spans="2:2" x14ac:dyDescent="0.2">
      <c r="B1088" s="136"/>
    </row>
    <row r="1089" spans="2:2" x14ac:dyDescent="0.2">
      <c r="B1089" s="136"/>
    </row>
    <row r="1090" spans="2:2" x14ac:dyDescent="0.2">
      <c r="B1090" s="136"/>
    </row>
    <row r="1091" spans="2:2" x14ac:dyDescent="0.2">
      <c r="B1091" s="136"/>
    </row>
    <row r="1092" spans="2:2" x14ac:dyDescent="0.2">
      <c r="B1092" s="136"/>
    </row>
    <row r="1093" spans="2:2" x14ac:dyDescent="0.2">
      <c r="B1093" s="136"/>
    </row>
    <row r="1094" spans="2:2" x14ac:dyDescent="0.2">
      <c r="B1094" s="136"/>
    </row>
    <row r="1095" spans="2:2" x14ac:dyDescent="0.2">
      <c r="B1095" s="136"/>
    </row>
    <row r="1096" spans="2:2" x14ac:dyDescent="0.2">
      <c r="B1096" s="136"/>
    </row>
    <row r="1097" spans="2:2" x14ac:dyDescent="0.2">
      <c r="B1097" s="136"/>
    </row>
    <row r="1098" spans="2:2" x14ac:dyDescent="0.2">
      <c r="B1098" s="136"/>
    </row>
    <row r="1099" spans="2:2" x14ac:dyDescent="0.2">
      <c r="B1099" s="136"/>
    </row>
    <row r="1100" spans="2:2" x14ac:dyDescent="0.2">
      <c r="B1100" s="136"/>
    </row>
    <row r="1101" spans="2:2" x14ac:dyDescent="0.2">
      <c r="B1101" s="136"/>
    </row>
    <row r="1102" spans="2:2" x14ac:dyDescent="0.2">
      <c r="B1102" s="136"/>
    </row>
    <row r="1103" spans="2:2" x14ac:dyDescent="0.2">
      <c r="B1103" s="136"/>
    </row>
    <row r="1104" spans="2:2" x14ac:dyDescent="0.2">
      <c r="B1104" s="136"/>
    </row>
    <row r="1105" spans="2:2" x14ac:dyDescent="0.2">
      <c r="B1105" s="136"/>
    </row>
    <row r="1106" spans="2:2" x14ac:dyDescent="0.2">
      <c r="B1106" s="136"/>
    </row>
    <row r="1107" spans="2:2" x14ac:dyDescent="0.2">
      <c r="B1107" s="136"/>
    </row>
    <row r="1108" spans="2:2" x14ac:dyDescent="0.2">
      <c r="B1108" s="136"/>
    </row>
    <row r="1109" spans="2:2" x14ac:dyDescent="0.2">
      <c r="B1109" s="136"/>
    </row>
    <row r="1110" spans="2:2" x14ac:dyDescent="0.2">
      <c r="B1110" s="136"/>
    </row>
    <row r="1111" spans="2:2" x14ac:dyDescent="0.2">
      <c r="B1111" s="136"/>
    </row>
    <row r="1112" spans="2:2" x14ac:dyDescent="0.2">
      <c r="B1112" s="136"/>
    </row>
    <row r="1113" spans="2:2" x14ac:dyDescent="0.2">
      <c r="B1113" s="136"/>
    </row>
    <row r="1114" spans="2:2" x14ac:dyDescent="0.2">
      <c r="B1114" s="136"/>
    </row>
    <row r="1115" spans="2:2" x14ac:dyDescent="0.2">
      <c r="B1115" s="136"/>
    </row>
    <row r="1116" spans="2:2" x14ac:dyDescent="0.2">
      <c r="B1116" s="136"/>
    </row>
    <row r="1117" spans="2:2" x14ac:dyDescent="0.2">
      <c r="B1117" s="136"/>
    </row>
    <row r="1118" spans="2:2" x14ac:dyDescent="0.2">
      <c r="B1118" s="136"/>
    </row>
    <row r="1119" spans="2:2" x14ac:dyDescent="0.2">
      <c r="B1119" s="136"/>
    </row>
    <row r="1120" spans="2:2" x14ac:dyDescent="0.2">
      <c r="B1120" s="136"/>
    </row>
    <row r="1121" spans="2:2" x14ac:dyDescent="0.2">
      <c r="B1121" s="136"/>
    </row>
    <row r="1122" spans="2:2" x14ac:dyDescent="0.2">
      <c r="B1122" s="136"/>
    </row>
    <row r="1123" spans="2:2" x14ac:dyDescent="0.2">
      <c r="B1123" s="136"/>
    </row>
    <row r="1124" spans="2:2" x14ac:dyDescent="0.2">
      <c r="B1124" s="136"/>
    </row>
    <row r="1125" spans="2:2" x14ac:dyDescent="0.2">
      <c r="B1125" s="136"/>
    </row>
    <row r="1126" spans="2:2" x14ac:dyDescent="0.2">
      <c r="B1126" s="136"/>
    </row>
    <row r="1127" spans="2:2" x14ac:dyDescent="0.2">
      <c r="B1127" s="136"/>
    </row>
    <row r="1128" spans="2:2" x14ac:dyDescent="0.2">
      <c r="B1128" s="136"/>
    </row>
    <row r="1129" spans="2:2" x14ac:dyDescent="0.2">
      <c r="B1129" s="136"/>
    </row>
    <row r="1130" spans="2:2" x14ac:dyDescent="0.2">
      <c r="B1130" s="136"/>
    </row>
    <row r="1131" spans="2:2" x14ac:dyDescent="0.2">
      <c r="B1131" s="136"/>
    </row>
    <row r="1132" spans="2:2" x14ac:dyDescent="0.2">
      <c r="B1132" s="136"/>
    </row>
    <row r="1133" spans="2:2" x14ac:dyDescent="0.2">
      <c r="B1133" s="136"/>
    </row>
    <row r="1134" spans="2:2" x14ac:dyDescent="0.2">
      <c r="B1134" s="136"/>
    </row>
    <row r="1135" spans="2:2" x14ac:dyDescent="0.2">
      <c r="B1135" s="136"/>
    </row>
    <row r="1136" spans="2:2" x14ac:dyDescent="0.2">
      <c r="B1136" s="136"/>
    </row>
    <row r="1137" spans="2:2" x14ac:dyDescent="0.2">
      <c r="B1137" s="136"/>
    </row>
    <row r="1138" spans="2:2" x14ac:dyDescent="0.2">
      <c r="B1138" s="136"/>
    </row>
    <row r="1139" spans="2:2" x14ac:dyDescent="0.2">
      <c r="B1139" s="136"/>
    </row>
    <row r="1140" spans="2:2" x14ac:dyDescent="0.2">
      <c r="B1140" s="136"/>
    </row>
    <row r="1141" spans="2:2" x14ac:dyDescent="0.2">
      <c r="B1141" s="136"/>
    </row>
    <row r="1142" spans="2:2" x14ac:dyDescent="0.2">
      <c r="B1142" s="136"/>
    </row>
    <row r="1143" spans="2:2" x14ac:dyDescent="0.2">
      <c r="B1143" s="136"/>
    </row>
    <row r="1144" spans="2:2" x14ac:dyDescent="0.2">
      <c r="B1144" s="136"/>
    </row>
    <row r="1145" spans="2:2" x14ac:dyDescent="0.2">
      <c r="B1145" s="136"/>
    </row>
    <row r="1146" spans="2:2" x14ac:dyDescent="0.2">
      <c r="B1146" s="136"/>
    </row>
    <row r="1147" spans="2:2" x14ac:dyDescent="0.2">
      <c r="B1147" s="136"/>
    </row>
    <row r="1148" spans="2:2" x14ac:dyDescent="0.2">
      <c r="B1148" s="136"/>
    </row>
    <row r="1149" spans="2:2" x14ac:dyDescent="0.2">
      <c r="B1149" s="136"/>
    </row>
    <row r="1150" spans="2:2" x14ac:dyDescent="0.2">
      <c r="B1150" s="136"/>
    </row>
    <row r="1151" spans="2:2" x14ac:dyDescent="0.2">
      <c r="B1151" s="136"/>
    </row>
    <row r="1152" spans="2:2" x14ac:dyDescent="0.2">
      <c r="B1152" s="136"/>
    </row>
    <row r="1153" spans="2:2" x14ac:dyDescent="0.2">
      <c r="B1153" s="136"/>
    </row>
    <row r="1154" spans="2:2" x14ac:dyDescent="0.2">
      <c r="B1154" s="136"/>
    </row>
    <row r="1155" spans="2:2" x14ac:dyDescent="0.2">
      <c r="B1155" s="136"/>
    </row>
    <row r="1156" spans="2:2" x14ac:dyDescent="0.2">
      <c r="B1156" s="136"/>
    </row>
    <row r="1157" spans="2:2" x14ac:dyDescent="0.2">
      <c r="B1157" s="136"/>
    </row>
    <row r="1158" spans="2:2" x14ac:dyDescent="0.2">
      <c r="B1158" s="136"/>
    </row>
    <row r="1159" spans="2:2" x14ac:dyDescent="0.2">
      <c r="B1159" s="136"/>
    </row>
    <row r="1160" spans="2:2" x14ac:dyDescent="0.2">
      <c r="B1160" s="136"/>
    </row>
    <row r="1161" spans="2:2" x14ac:dyDescent="0.2">
      <c r="B1161" s="136"/>
    </row>
    <row r="1162" spans="2:2" x14ac:dyDescent="0.2">
      <c r="B1162" s="136"/>
    </row>
    <row r="1163" spans="2:2" x14ac:dyDescent="0.2">
      <c r="B1163" s="136"/>
    </row>
    <row r="1164" spans="2:2" x14ac:dyDescent="0.2">
      <c r="B1164" s="136"/>
    </row>
    <row r="1165" spans="2:2" x14ac:dyDescent="0.2">
      <c r="B1165" s="36"/>
    </row>
  </sheetData>
  <sheetProtection algorithmName="SHA-512" hashValue="TphSGekFurX3b7cjapxRChN9uC8NHMpGs3JkM12sJ98kpMRkgV6bn0HCcEQc79wWTBb0SK2bP0TRzgcg7Pk33A==" saltValue="+rqESOny/1okUX6ukBhocQ==" spinCount="100000" sheet="1" objects="1" scenarios="1"/>
  <protectedRanges>
    <protectedRange sqref="B1" name="Range1"/>
    <protectedRange sqref="B2" name="Range2"/>
  </protectedRange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F27"/>
  <sheetViews>
    <sheetView topLeftCell="A10" zoomScaleNormal="100" workbookViewId="0">
      <selection activeCell="B3" sqref="B3:C3"/>
    </sheetView>
  </sheetViews>
  <sheetFormatPr defaultColWidth="8.875" defaultRowHeight="15" x14ac:dyDescent="0.2"/>
  <cols>
    <col min="1" max="1" width="25.828125" style="24" customWidth="1"/>
    <col min="2" max="2" width="10.89453125" style="15" customWidth="1"/>
    <col min="3" max="3" width="85.82421875" style="15" customWidth="1"/>
    <col min="4" max="4" width="3.359375" style="15" customWidth="1"/>
    <col min="5" max="5" width="13.046875" style="15" customWidth="1"/>
    <col min="6" max="6" width="56.09375" style="15" customWidth="1"/>
    <col min="7" max="16384" width="8.875" style="15"/>
  </cols>
  <sheetData>
    <row r="1" spans="1:6" ht="20.100000000000001" customHeight="1" x14ac:dyDescent="0.2">
      <c r="A1" s="19" t="s">
        <v>352</v>
      </c>
      <c r="B1" s="174" t="s">
        <v>353</v>
      </c>
      <c r="C1" s="175"/>
      <c r="D1" s="176"/>
    </row>
    <row r="2" spans="1:6" ht="20.100000000000001" customHeight="1" x14ac:dyDescent="0.2">
      <c r="A2" s="20" t="s">
        <v>354</v>
      </c>
      <c r="B2" s="177">
        <v>0.6</v>
      </c>
      <c r="C2" s="175"/>
      <c r="D2" s="173"/>
    </row>
    <row r="3" spans="1:6" ht="20.100000000000001" customHeight="1" x14ac:dyDescent="0.2">
      <c r="A3" s="20" t="s">
        <v>355</v>
      </c>
      <c r="B3" s="177">
        <v>5</v>
      </c>
      <c r="C3" s="175"/>
      <c r="D3" s="173"/>
    </row>
    <row r="4" spans="1:6" ht="20.100000000000001" customHeight="1" x14ac:dyDescent="0.2">
      <c r="A4" s="178" t="s">
        <v>356</v>
      </c>
      <c r="B4" s="173"/>
      <c r="C4" s="173"/>
      <c r="D4" s="173"/>
    </row>
    <row r="5" spans="1:6" ht="20.100000000000001" customHeight="1" x14ac:dyDescent="0.2">
      <c r="A5" s="173"/>
      <c r="B5" s="173"/>
      <c r="C5" s="173"/>
      <c r="D5" s="173"/>
    </row>
    <row r="6" spans="1:6" ht="30" customHeight="1" x14ac:dyDescent="0.2">
      <c r="A6" s="21" t="s">
        <v>357</v>
      </c>
      <c r="B6" s="16" t="s">
        <v>358</v>
      </c>
      <c r="C6" s="16" t="s">
        <v>359</v>
      </c>
      <c r="D6" s="173"/>
    </row>
    <row r="7" spans="1:6" ht="30" customHeight="1" x14ac:dyDescent="0.2">
      <c r="A7" s="22" t="s">
        <v>360</v>
      </c>
      <c r="B7" s="17" t="s">
        <v>361</v>
      </c>
      <c r="C7" s="17" t="str">
        <f>IF(B3&lt;10,"Diluir 1 ml de Adrenalina em 9 ml de SF 0,9%, para obter um volume total de 10,0 ml. A solução final terá uma concentração de (100 mcg/ml). Administrar "&amp;TEXT(MIN(ROUND(B3*0.1,1),10),"0,0")&amp;" ml EV ou IO a cada 3-5 minutos","Administrar "&amp;TEXT(MIN(ROUND(B3*0.01,1),1),"0,0")&amp;" ml de Adrenalina pura EV ou IO a cada 3-5 minutos.")</f>
        <v>Diluir 1 ml de Adrenalina em 9 ml de SF 0,9%, para obter um volume total de 10,0 ml. A solução final terá uma concentração de (100 mcg/ml). Administrar 0,5 ml EV ou IO a cada 3-5 minutos</v>
      </c>
      <c r="D7" s="173"/>
      <c r="F7" s="14"/>
    </row>
    <row r="8" spans="1:6" ht="30" customHeight="1" x14ac:dyDescent="0.2">
      <c r="A8" s="23" t="s">
        <v>362</v>
      </c>
      <c r="B8" s="18" t="s">
        <v>361</v>
      </c>
      <c r="C8" s="18" t="str">
        <f>"Administrar "&amp;TEXT(MAX(0.2,MIN(B3*0.02/0.5,1)),"0,00")&amp;" ml de Atropina EV ou IO sem diluição. Dose mínima: 0,2 ml (0,1 mg); Dose máxima: 1 ml (0,5 mg)"</f>
        <v>Administrar 0,20 ml de Atropina EV ou IO sem diluição. Dose mínima: 0,2 ml (0,1 mg); Dose máxima: 1 ml (0,5 mg)</v>
      </c>
      <c r="D8" s="173"/>
      <c r="F8" s="14"/>
    </row>
    <row r="9" spans="1:6" ht="30" customHeight="1" x14ac:dyDescent="0.2">
      <c r="A9" s="22" t="s">
        <v>363</v>
      </c>
      <c r="B9" s="17" t="s">
        <v>364</v>
      </c>
      <c r="C9" s="17" t="str">
        <f>"Administrar "&amp;TEXT(MIN(ROUND(B3,2),50),"0,00")&amp;" ml de Bicarbonato de Sódio 8,4% EV, diluído em "&amp;TEXT(MIN(ROUND(B3,2),50),"0,00")&amp;" ml de SF 0,9%, lentamente em 2-5 minutos"</f>
        <v>Administrar 5,00 ml de Bicarbonato de Sódio 8,4% EV, diluído em 5,00 ml de SF 0,9%, lentamente em 2-5 minutos</v>
      </c>
      <c r="D9" s="173"/>
      <c r="F9" s="14"/>
    </row>
    <row r="10" spans="1:6" ht="30" customHeight="1" x14ac:dyDescent="0.2">
      <c r="A10" s="23" t="s">
        <v>365</v>
      </c>
      <c r="B10" s="18" t="s">
        <v>364</v>
      </c>
      <c r="C10" s="18" t="str">
        <f>"Diluir "&amp;TEXT(ROUND(B3*0.4,2),"0,00")&amp;" ml de Glicose 50% em "&amp;TEXT(ROUND(B3*1.6,2),"0,00")&amp;" ml de AD para obter solução a 10%. Administrar "&amp;TEXT(ROUND(B3*2,2),"0,00")&amp;" ml EV."</f>
        <v>Diluir 2,00 ml de Glicose 50% em 8,00 ml de AD para obter solução a 10%. Administrar 10,00 ml EV.</v>
      </c>
      <c r="D10" s="173"/>
      <c r="F10" s="14"/>
    </row>
    <row r="11" spans="1:6" ht="30" customHeight="1" x14ac:dyDescent="0.2">
      <c r="A11" s="22" t="s">
        <v>366</v>
      </c>
      <c r="B11" s="17" t="s">
        <v>364</v>
      </c>
      <c r="C11" s="17" t="str">
        <f>"Administrar "&amp;TEXT(ROUND(MIN(B3*1,B3*0.5),2),"0,00")&amp;" ml de GluCa 10% EV lentamente."</f>
        <v>Administrar 2,50 ml de GluCa 10% EV lentamente.</v>
      </c>
      <c r="D11" s="173"/>
      <c r="F11" s="14"/>
    </row>
    <row r="12" spans="1:6" ht="30" customHeight="1" x14ac:dyDescent="0.2">
      <c r="A12" s="23" t="s">
        <v>367</v>
      </c>
      <c r="B12" s="18" t="s">
        <v>361</v>
      </c>
      <c r="C12" s="18" t="str">
        <f>"Administrar "&amp;TEXT(MIN(ROUND(B3*0.1,2),1),"0,00")&amp;" ml de Lidocaína EV ou IO lentamente. Dose máxima: 1 ml"</f>
        <v>Administrar 0,50 ml de Lidocaína EV ou IO lentamente. Dose máxima: 1 ml</v>
      </c>
      <c r="D12" s="173"/>
      <c r="F12" s="14"/>
    </row>
    <row r="13" spans="1:6" ht="30" customHeight="1" x14ac:dyDescent="0.2">
      <c r="A13" s="22" t="s">
        <v>368</v>
      </c>
      <c r="B13" s="17" t="s">
        <v>369</v>
      </c>
      <c r="C13" s="17" t="str">
        <f>"Diluir "&amp;TEXT(ROUND(B3*0.04,2),"0,00")&amp;" ml de Fentanyl em "&amp;TEXT(ROUND(B3*0.04*9,2),"0,00")&amp;" ml de SF 0,9% para obter uma solução final de "&amp;TEXT(ROUND(B3*0.04+ROUND(B3*0.04*9,2),2),"0,00")&amp;" ml (5 mcg/ml) Administrar "&amp;TEXT(ROUND(B3*0.04,2),"0,00")&amp;" ml EV lentamente (0,2 mcg por kg)"</f>
        <v>Diluir 0,20 ml de Fentanyl em 1,80 ml de SF 0,9% para obter uma solução final de 2,00 ml (5 mcg/ml) Administrar 0,20 ml EV lentamente (0,2 mcg por kg)</v>
      </c>
      <c r="D13" s="173"/>
      <c r="F13" s="14"/>
    </row>
    <row r="14" spans="1:6" ht="30" customHeight="1" x14ac:dyDescent="0.2">
      <c r="A14" s="23" t="s">
        <v>370</v>
      </c>
      <c r="B14" s="18" t="s">
        <v>364</v>
      </c>
      <c r="C14" s="18" t="str">
        <f>"Administrar "&amp;TEXT(MIN(ROUND(B3*0.1,2),10),"0,00")&amp;" ml de Morfina EV lentamente."</f>
        <v>Administrar 0,50 ml de Morfina EV lentamente.</v>
      </c>
      <c r="D14" s="173"/>
      <c r="F14" s="14"/>
    </row>
    <row r="15" spans="1:6" ht="30" customHeight="1" x14ac:dyDescent="0.2">
      <c r="A15" s="22" t="s">
        <v>371</v>
      </c>
      <c r="B15" s="17" t="s">
        <v>369</v>
      </c>
      <c r="C15" s="17" t="str">
        <f>"Administrar "&amp;TEXT(ROUND(B3*0.04,2),"0,00")&amp;" ml de Cetamina (Puro) EV lentamente."</f>
        <v>Administrar 0,20 ml de Cetamina (Puro) EV lentamente.</v>
      </c>
      <c r="D15" s="173"/>
      <c r="F15" s="14"/>
    </row>
    <row r="16" spans="1:6" ht="30" customHeight="1" x14ac:dyDescent="0.2">
      <c r="A16" s="23" t="s">
        <v>372</v>
      </c>
      <c r="B16" s="18" t="s">
        <v>369</v>
      </c>
      <c r="C16" s="18" t="str">
        <f>"Diluir "&amp;TEXT(ROUND(B3*0.2,2),"0,00")&amp;" ml de Cetamina em "&amp;TEXT(ROUND(B3*0.2*4,2),"0,00")&amp;" ml de SF 0,9%. Administrar "&amp;TEXT(ROUND(B3*0.2/10,2),"0,00")&amp;" ml da mistura EV lentamente para obter uma dose de 2 mg/kg."</f>
        <v>Diluir 1,00 ml de Cetamina em 4,00 ml de SF 0,9%. Administrar 0,10 ml da mistura EV lentamente para obter uma dose de 2 mg/kg.</v>
      </c>
      <c r="D16" s="173"/>
      <c r="F16" s="14"/>
    </row>
    <row r="17" spans="1:6" ht="30" customHeight="1" x14ac:dyDescent="0.2">
      <c r="A17" s="22" t="s">
        <v>373</v>
      </c>
      <c r="B17" s="17" t="s">
        <v>364</v>
      </c>
      <c r="C17" s="17" t="str">
        <f>"Diluir "&amp;TEXT(B3*0.04,"0,00")&amp;" ml de Midazolam em "&amp;TEXT(B3*0.04*9,"0,00")&amp;" ml de SF 0,9%, totalizando "&amp;TEXT(B3*0.04*10,"0,00")&amp;" ml. Administrar "&amp;TEXT(B3*0.04,"0,00")&amp;" ml EV lentamente para fornecer 0,2 mg/kg."</f>
        <v>Diluir 0,20 ml de Midazolam em 1,80 ml de SF 0,9%, totalizando 2,00 ml. Administrar 0,20 ml EV lentamente para fornecer 0,2 mg/kg.</v>
      </c>
      <c r="D17" s="173"/>
      <c r="F17" s="14"/>
    </row>
    <row r="18" spans="1:6" ht="30" customHeight="1" x14ac:dyDescent="0.2">
      <c r="A18" s="23" t="s">
        <v>374</v>
      </c>
      <c r="B18" s="18" t="s">
        <v>364</v>
      </c>
      <c r="C18" s="18" t="str">
        <f>"Administrar "&amp;TEXT(ROUND(B3*0.2,2),"0,00")&amp;" ml de Propofol EV lentamente."</f>
        <v>Administrar 1,00 ml de Propofol EV lentamente.</v>
      </c>
      <c r="D18" s="173"/>
      <c r="F18" s="14"/>
    </row>
    <row r="19" spans="1:6" ht="30" customHeight="1" x14ac:dyDescent="0.2">
      <c r="A19" s="22" t="s">
        <v>375</v>
      </c>
      <c r="B19" s="17" t="s">
        <v>376</v>
      </c>
      <c r="C19" s="17" t="str">
        <f>"Reconstituir 1 frasco em 10 ml de AD. Administrar "&amp;TEXT(ROUND(B3*0.2,2),"0,00")&amp;" ml de Succinilcolina EV para intubação rápida."</f>
        <v>Reconstituir 1 frasco em 10 ml de AD. Administrar 1,00 ml de Succinilcolina EV para intubação rápida.</v>
      </c>
      <c r="D19" s="173"/>
      <c r="F19" s="14"/>
    </row>
    <row r="20" spans="1:6" ht="30" customHeight="1" x14ac:dyDescent="0.2">
      <c r="A20" s="23" t="s">
        <v>377</v>
      </c>
      <c r="B20" s="18" t="s">
        <v>376</v>
      </c>
      <c r="C20" s="18" t="str">
        <f>"Administrar "&amp;TEXT(ROUND(B3*0.05,2),"0,00")&amp;" ml de Pancurônio EV lentamente."</f>
        <v>Administrar 0,25 ml de Pancurônio EV lentamente.</v>
      </c>
      <c r="D20" s="173"/>
      <c r="F20" s="14"/>
    </row>
    <row r="21" spans="1:6" ht="30" customHeight="1" x14ac:dyDescent="0.2">
      <c r="A21" s="22" t="s">
        <v>378</v>
      </c>
      <c r="B21" s="17" t="s">
        <v>379</v>
      </c>
      <c r="C21" s="17" t="str">
        <f>"Administrar "&amp;TEXT(ROUND(B3*0.2,2),"0,00")&amp;" ml de Rocurônio EV lentamente."</f>
        <v>Administrar 1,00 ml de Rocurônio EV lentamente.</v>
      </c>
      <c r="D21" s="173"/>
      <c r="F21" s="14"/>
    </row>
    <row r="22" spans="1:6" ht="30" customHeight="1" x14ac:dyDescent="0.2">
      <c r="A22" s="23" t="s">
        <v>380</v>
      </c>
      <c r="B22" s="18" t="s">
        <v>376</v>
      </c>
      <c r="C22" s="18" t="str">
        <f>"Administrar "&amp;TEXT(MIN(ROUND(B3*0.1,2),2),"0,00")&amp;" ml de Naloxone EV, repetir a cada 2 minutos, se necessário."</f>
        <v>Administrar 0,50 ml de Naloxone EV, repetir a cada 2 minutos, se necessário.</v>
      </c>
      <c r="D22" s="173"/>
      <c r="F22" s="14"/>
    </row>
    <row r="23" spans="1:6" ht="30" customHeight="1" x14ac:dyDescent="0.2">
      <c r="A23" s="22" t="s">
        <v>381</v>
      </c>
      <c r="B23" s="17" t="s">
        <v>376</v>
      </c>
      <c r="C23" s="17" t="str">
        <f>"Administrar "&amp;TEXT(MIN(ROUND(B3*0.1,2),0.2),"0,00")&amp;" ml de Flumazenil EV, repetir a cada 20 minutos, se necessário."</f>
        <v>Administrar 0,20 ml de Flumazenil EV, repetir a cada 20 minutos, se necessário.</v>
      </c>
      <c r="D23" s="173"/>
      <c r="F23" s="14"/>
    </row>
    <row r="24" spans="1:6" ht="30" customHeight="1" x14ac:dyDescent="0.2">
      <c r="A24" s="23" t="s">
        <v>382</v>
      </c>
      <c r="B24" s="18" t="s">
        <v>383</v>
      </c>
      <c r="C24" s="18" t="str">
        <f>"Utilizar tubo de "&amp;TEXT(IF(B2&lt;1,3.5,IF(B2&lt;=2,4,IF(B2&lt;=4,5,IF(B2&lt;=6,5.5,IF(B2&lt;=9,6,ROUND((B2/4)+4,1)))))),"0,0")&amp;" mm sem cuff ou "&amp;TEXT(IF(B2&lt;1,3,IF(B2&lt;=2,3.5,IF(B2&lt;=4,4.5,IF(B2&lt;=6,5,IF(B2&lt;=9,5.5,ROUND((B2/4)+3.5,1)))))),"0,0")&amp;" mm com cuff"</f>
        <v>Utilizar tubo de 3,5 mm sem cuff ou 3,0 mm com cuff</v>
      </c>
      <c r="D24" s="173"/>
      <c r="F24" s="14"/>
    </row>
    <row r="25" spans="1:6" ht="30" customHeight="1" x14ac:dyDescent="0.2">
      <c r="A25" s="22" t="s">
        <v>384</v>
      </c>
      <c r="B25" s="17" t="s">
        <v>383</v>
      </c>
      <c r="C25" s="17" t="str">
        <f>"Inserir tubo até "&amp;TEXT(IF(B2&lt;=1,9,IF(B2&lt;=2,10,IF(B2&lt;=5,12,IF(B2&lt;=8,14,IF(B2&lt;=12,16,18))))),"0,0")&amp;" cm para tubo sem cuff ou "&amp;TEXT(IF(B2&lt;=1,8.5,IF(B2&lt;=2,9.5,IF(B2&lt;=5,11,IF(B2&lt;=8,13,IF(B2&lt;=12,15,17.5))))),"0,0")&amp;" cm para tubo com cuff, com base na idade e peso estimados."</f>
        <v>Inserir tubo até 9,0 cm para tubo sem cuff ou 8,5 cm para tubo com cuff, com base na idade e peso estimados.</v>
      </c>
      <c r="D25" s="173"/>
      <c r="F25" s="14"/>
    </row>
    <row r="26" spans="1:6" ht="30" customHeight="1" x14ac:dyDescent="0.2">
      <c r="A26" s="23" t="s">
        <v>385</v>
      </c>
      <c r="B26" s="18" t="s">
        <v>376</v>
      </c>
      <c r="C26" s="18" t="str">
        <f>"Administrar "&amp;TEXT(ROUND(B3*0.5,2),"0,00")&amp;" ml de Atracúrio EV lentamente. Pode repetir a cada 20 a 45 minutos, se necessário."</f>
        <v>Administrar 2,50 ml de Atracúrio EV lentamente. Pode repetir a cada 20 a 45 minutos, se necessário.</v>
      </c>
      <c r="D26" s="173"/>
      <c r="F26" s="14"/>
    </row>
    <row r="27" spans="1:6" x14ac:dyDescent="0.2">
      <c r="A27" s="172"/>
      <c r="B27" s="173"/>
      <c r="C27" s="173"/>
      <c r="D27" s="173"/>
    </row>
  </sheetData>
  <sheetProtection algorithmName="SHA-512" hashValue="XSLh57T0Z2x2KrSsUvCx0zj1XCQnfpZL34nfaO6EPwIAeg4YJTOcnmbO0ut5vceMofcajxiT53r3a0CnHn9cTw==" saltValue="bhhTHvGsV2zNQqJBXEjd2Q==" spinCount="100000" sheet="1" objects="1" scenarios="1"/>
  <protectedRanges>
    <protectedRange sqref="B2" name="Range1"/>
    <protectedRange sqref="B3" name="Range2"/>
  </protectedRanges>
  <mergeCells count="6">
    <mergeCell ref="A27:D27"/>
    <mergeCell ref="B1:C1"/>
    <mergeCell ref="D1:D26"/>
    <mergeCell ref="B2:C2"/>
    <mergeCell ref="B3:C3"/>
    <mergeCell ref="A4:C5"/>
  </mergeCells>
  <pageMargins left="0.511811024" right="0.511811024" top="0.78740157499999996" bottom="0.78740157499999996" header="0" footer="0"/>
  <pageSetup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F1000"/>
  <sheetViews>
    <sheetView workbookViewId="0">
      <selection activeCell="D6" sqref="D6"/>
    </sheetView>
  </sheetViews>
  <sheetFormatPr defaultColWidth="14.390625" defaultRowHeight="15" customHeight="1" x14ac:dyDescent="0.2"/>
  <cols>
    <col min="1" max="1" width="3.359375" customWidth="1"/>
    <col min="2" max="2" width="32.015625" customWidth="1"/>
    <col min="3" max="3" width="21.65625" customWidth="1"/>
    <col min="4" max="4" width="22.46484375" customWidth="1"/>
    <col min="5" max="5" width="3.359375" customWidth="1"/>
    <col min="6" max="6" width="26.36328125" customWidth="1"/>
    <col min="7" max="26" width="8.875" customWidth="1"/>
  </cols>
  <sheetData>
    <row r="1" spans="1:6" x14ac:dyDescent="0.2">
      <c r="A1" s="181"/>
      <c r="B1" s="182"/>
      <c r="C1" s="182"/>
      <c r="D1" s="182"/>
      <c r="E1" s="183"/>
      <c r="F1" s="67"/>
    </row>
    <row r="2" spans="1:6" ht="41.25" customHeight="1" x14ac:dyDescent="0.2">
      <c r="A2" s="184"/>
      <c r="B2" s="187" t="str">
        <f>"CÁLCULOS AUTOMÁTICOS BASEADOS NO PESO (KG) E VALOR GLICEMICO (MG/DL) PARA INFUSÃO DE INSULINA"</f>
        <v>CÁLCULOS AUTOMÁTICOS BASEADOS NO PESO (KG) E VALOR GLICEMICO (MG/DL) PARA INFUSÃO DE INSULINA</v>
      </c>
      <c r="C2" s="188"/>
      <c r="D2" s="189"/>
      <c r="E2" s="190"/>
      <c r="F2" s="67"/>
    </row>
    <row r="3" spans="1:6" x14ac:dyDescent="0.2">
      <c r="A3" s="185"/>
      <c r="B3" s="38"/>
      <c r="C3" s="38"/>
      <c r="D3" s="38"/>
      <c r="E3" s="191"/>
      <c r="F3" s="67"/>
    </row>
    <row r="4" spans="1:6" ht="16.5" customHeight="1" x14ac:dyDescent="0.2">
      <c r="A4" s="185"/>
      <c r="B4" s="68" t="str">
        <f>"PESO(KG) &gt; &gt; &gt;"</f>
        <v>PESO(KG) &gt; &gt; &gt;</v>
      </c>
      <c r="C4" s="69">
        <v>42</v>
      </c>
      <c r="D4" s="70" t="s">
        <v>386</v>
      </c>
      <c r="E4" s="191"/>
      <c r="F4" s="67"/>
    </row>
    <row r="5" spans="1:6" ht="16.5" customHeight="1" x14ac:dyDescent="0.2">
      <c r="A5" s="185"/>
      <c r="B5" s="68" t="str">
        <f>"VALOR DA GLICEMIA (MG/DL) &gt; &gt; &gt;"</f>
        <v>VALOR DA GLICEMIA (MG/DL) &gt; &gt; &gt;</v>
      </c>
      <c r="C5" s="71">
        <v>360</v>
      </c>
      <c r="D5" s="72" t="s">
        <v>387</v>
      </c>
      <c r="E5" s="191"/>
      <c r="F5" s="67"/>
    </row>
    <row r="6" spans="1:6" ht="16.5" customHeight="1" x14ac:dyDescent="0.2">
      <c r="A6" s="185"/>
      <c r="B6" s="66" t="str">
        <f>"DOSE DE INSULINA (UI/H)"</f>
        <v>DOSE DE INSULINA (UI/H)</v>
      </c>
      <c r="C6" s="73">
        <f>IF(C4&lt;=0, "Peso inválido", IF(C7&lt;=0, "Taxa inválida", ROUND(C7*C4, 2)))</f>
        <v>1.51</v>
      </c>
      <c r="D6" s="74" t="s">
        <v>388</v>
      </c>
      <c r="E6" s="191"/>
      <c r="F6" s="67"/>
    </row>
    <row r="7" spans="1:6" ht="16.5" customHeight="1" x14ac:dyDescent="0.2">
      <c r="A7" s="185"/>
      <c r="B7" s="75" t="str">
        <f>"TAXA DE INFUSÃO (UI/KG/H)"</f>
        <v>TAXA DE INFUSÃO (UI/KG/H)</v>
      </c>
      <c r="C7" s="76">
        <f>IF(C5&lt;=0, "Glicemia inválida", ROUND(MAX(C5/100*0.01, 0.001), 3))</f>
        <v>3.5999999999999997E-2</v>
      </c>
      <c r="D7" s="77" t="s">
        <v>389</v>
      </c>
      <c r="E7" s="191"/>
      <c r="F7" s="67"/>
    </row>
    <row r="8" spans="1:6" ht="16.5" customHeight="1" x14ac:dyDescent="0.2">
      <c r="A8" s="185"/>
      <c r="B8" s="78" t="str">
        <f>"SOLUÇÃO DE INSULINA"</f>
        <v>SOLUÇÃO DE INSULINA</v>
      </c>
      <c r="C8" s="193" t="str">
        <f>"INSULINA REGULAR 25 UI + SF 0,9% 250 ML"</f>
        <v>INSULINA REGULAR 25 UI + SF 0,9% 250 ML</v>
      </c>
      <c r="D8" s="194"/>
      <c r="E8" s="191"/>
      <c r="F8" s="67"/>
    </row>
    <row r="9" spans="1:6" ht="16.5" customHeight="1" x14ac:dyDescent="0.2">
      <c r="A9" s="185"/>
      <c r="B9" s="60" t="str">
        <f>"ADMINISTRAÇÃO EM BIC (ML/H)"</f>
        <v>ADMINISTRAÇÃO EM BIC (ML/H)</v>
      </c>
      <c r="C9" s="79">
        <f>IF(C6&lt;=0, "Dose inválida", ROUND(MIN(C6/0.1, 20), 2))</f>
        <v>15.1</v>
      </c>
      <c r="D9" s="80" t="s">
        <v>390</v>
      </c>
      <c r="E9" s="191"/>
      <c r="F9" s="67"/>
    </row>
    <row r="10" spans="1:6" x14ac:dyDescent="0.2">
      <c r="A10" s="185"/>
      <c r="B10" s="38"/>
      <c r="C10" s="38"/>
      <c r="D10" s="38"/>
      <c r="E10" s="191"/>
      <c r="F10" s="67"/>
    </row>
    <row r="11" spans="1:6" ht="32.25" customHeight="1" x14ac:dyDescent="0.2">
      <c r="A11" s="185"/>
      <c r="B11" s="187" t="str">
        <f>"* INICIAR CONTROLE DA GLICEMIA A CADA 1 HORA
* MANTER GLICEMIA CAPILAR ≤ 180 MG/DL"</f>
        <v>* INICIAR CONTROLE DA GLICEMIA A CADA 1 HORA
* MANTER GLICEMIA CAPILAR ≤ 180 MG/DL</v>
      </c>
      <c r="C11" s="188"/>
      <c r="D11" s="189"/>
      <c r="E11" s="191"/>
      <c r="F11" s="67"/>
    </row>
    <row r="12" spans="1:6" x14ac:dyDescent="0.2">
      <c r="A12" s="185"/>
      <c r="B12" s="38"/>
      <c r="C12" s="38"/>
      <c r="D12" s="38"/>
      <c r="E12" s="191"/>
      <c r="F12" s="67"/>
    </row>
    <row r="13" spans="1:6" ht="16.5" customHeight="1" x14ac:dyDescent="0.2">
      <c r="A13" s="185"/>
      <c r="B13" s="195" t="s">
        <v>391</v>
      </c>
      <c r="C13" s="196"/>
      <c r="D13" s="197"/>
      <c r="E13" s="191"/>
      <c r="F13" s="67"/>
    </row>
    <row r="14" spans="1:6" ht="16.5" customHeight="1" x14ac:dyDescent="0.2">
      <c r="A14" s="185"/>
      <c r="B14" s="59" t="s">
        <v>392</v>
      </c>
      <c r="C14" s="200" t="str">
        <f>"CONDUTA (VIDE TABELA 2)"</f>
        <v>CONDUTA (VIDE TABELA 2)</v>
      </c>
      <c r="D14" s="201"/>
      <c r="E14" s="191"/>
      <c r="F14" s="14"/>
    </row>
    <row r="15" spans="1:6" x14ac:dyDescent="0.2">
      <c r="A15" s="185"/>
      <c r="B15" s="81" t="s">
        <v>393</v>
      </c>
      <c r="C15" s="179" t="s">
        <v>394</v>
      </c>
      <c r="D15" s="180"/>
      <c r="E15" s="191"/>
      <c r="F15" s="67"/>
    </row>
    <row r="16" spans="1:6" ht="27.75" x14ac:dyDescent="0.2">
      <c r="A16" s="185"/>
      <c r="B16" s="82" t="s">
        <v>395</v>
      </c>
      <c r="C16" s="202" t="s">
        <v>396</v>
      </c>
      <c r="D16" s="180"/>
      <c r="E16" s="191"/>
      <c r="F16" s="67"/>
    </row>
    <row r="17" spans="1:6" x14ac:dyDescent="0.2">
      <c r="A17" s="185"/>
      <c r="B17" s="81" t="s">
        <v>397</v>
      </c>
      <c r="C17" s="179" t="s">
        <v>398</v>
      </c>
      <c r="D17" s="180"/>
      <c r="E17" s="191"/>
      <c r="F17" s="67"/>
    </row>
    <row r="18" spans="1:6" x14ac:dyDescent="0.2">
      <c r="A18" s="185"/>
      <c r="B18" s="82" t="s">
        <v>399</v>
      </c>
      <c r="C18" s="202" t="s">
        <v>400</v>
      </c>
      <c r="D18" s="180"/>
      <c r="E18" s="191"/>
      <c r="F18" s="67"/>
    </row>
    <row r="19" spans="1:6" ht="32.25" customHeight="1" x14ac:dyDescent="0.2">
      <c r="A19" s="185"/>
      <c r="B19" s="81" t="s">
        <v>401</v>
      </c>
      <c r="C19" s="179" t="s">
        <v>402</v>
      </c>
      <c r="D19" s="180"/>
      <c r="E19" s="191"/>
      <c r="F19" s="67"/>
    </row>
    <row r="20" spans="1:6" x14ac:dyDescent="0.2">
      <c r="A20" s="185"/>
      <c r="B20" s="38"/>
      <c r="C20" s="38"/>
      <c r="D20" s="38"/>
      <c r="E20" s="191"/>
      <c r="F20" s="67"/>
    </row>
    <row r="21" spans="1:6" ht="16.5" customHeight="1" x14ac:dyDescent="0.2">
      <c r="A21" s="185"/>
      <c r="B21" s="83" t="s">
        <v>403</v>
      </c>
      <c r="C21" s="83" t="s">
        <v>404</v>
      </c>
      <c r="D21" s="83" t="s">
        <v>405</v>
      </c>
      <c r="E21" s="191"/>
      <c r="F21" s="67"/>
    </row>
    <row r="22" spans="1:6" ht="16.5" customHeight="1" x14ac:dyDescent="0.2">
      <c r="A22" s="185"/>
      <c r="B22" s="82" t="s">
        <v>406</v>
      </c>
      <c r="C22" s="82" t="str">
        <f>IF(C4&lt;=0, "Peso inválido", ROUND(0.01*C4/0.1, 2) &amp; " ML")</f>
        <v>4,2 ML</v>
      </c>
      <c r="D22" s="82" t="str">
        <f>IF(C4&lt;=0, "Peso inválido", ROUND((0.01*C4/0.1)*2, 2) &amp; " ML")</f>
        <v>8,4 ML</v>
      </c>
      <c r="E22" s="191"/>
      <c r="F22" s="67"/>
    </row>
    <row r="23" spans="1:6" ht="16.5" customHeight="1" x14ac:dyDescent="0.2">
      <c r="A23" s="185"/>
      <c r="B23" s="81" t="s">
        <v>407</v>
      </c>
      <c r="C23" s="81" t="str">
        <f>IF(C4&lt;=0, "Peso inválido", ROUND(0.02*C4/0.1, 2) &amp; " ML")</f>
        <v>8,4 ML</v>
      </c>
      <c r="D23" s="81" t="str">
        <f>IF(C4&lt;=0, "Peso inválido", ROUND((0.02*C4/0.1)*2, 2) &amp; " ML")</f>
        <v>16,8 ML</v>
      </c>
      <c r="E23" s="191"/>
      <c r="F23" s="67"/>
    </row>
    <row r="24" spans="1:6" ht="16.5" customHeight="1" x14ac:dyDescent="0.2">
      <c r="A24" s="185"/>
      <c r="B24" s="82" t="s">
        <v>408</v>
      </c>
      <c r="C24" s="82" t="str">
        <f>IF(C4&lt;=0, "Peso inválido", ROUND(0.03*C4/0.1, 2) &amp; " ML")</f>
        <v>12,6 ML</v>
      </c>
      <c r="D24" s="82" t="str">
        <f>IF(C4&lt;=0, "Peso inválido", ROUND((0.03*C4/0.1)*2, 2) &amp; " ML")</f>
        <v>25,2 ML</v>
      </c>
      <c r="E24" s="191"/>
      <c r="F24" s="67"/>
    </row>
    <row r="25" spans="1:6" ht="16.5" customHeight="1" x14ac:dyDescent="0.2">
      <c r="A25" s="185"/>
      <c r="B25" s="81" t="s">
        <v>409</v>
      </c>
      <c r="C25" s="81" t="str">
        <f>IF(C4&lt;=0, "Peso inválido", ROUND(0.04*C4/0.1, 2) &amp; " ML")</f>
        <v>16,8 ML</v>
      </c>
      <c r="D25" s="81" t="str">
        <f>IF(C4&lt;=0, "Peso inválido", ROUND((0.04*C4/0.1)*2, 2) &amp; " ML")</f>
        <v>33,6 ML</v>
      </c>
      <c r="E25" s="191"/>
      <c r="F25" s="67"/>
    </row>
    <row r="26" spans="1:6" ht="16.5" customHeight="1" x14ac:dyDescent="0.2">
      <c r="A26" s="185"/>
      <c r="B26" s="82" t="s">
        <v>410</v>
      </c>
      <c r="C26" s="82" t="str">
        <f>IF(C4&lt;=0, "Peso inválido", ROUND(0.06*C4/0.1, 2) &amp; " ML")</f>
        <v>25,2 ML</v>
      </c>
      <c r="D26" s="82" t="str">
        <f>IF(C4&lt;=0, "Peso inválido", ROUND((0.06*C4/0.1)*2, 2) &amp; " ML")</f>
        <v>50,4 ML</v>
      </c>
      <c r="E26" s="191"/>
      <c r="F26" s="67"/>
    </row>
    <row r="27" spans="1:6" ht="16.5" customHeight="1" x14ac:dyDescent="0.2">
      <c r="A27" s="185"/>
      <c r="B27" s="81" t="s">
        <v>411</v>
      </c>
      <c r="C27" s="81" t="str">
        <f>IF(C4&lt;=0, "Peso inválido", ROUND(0.08*C4/0.1, 2) &amp; " ML")</f>
        <v>33,6 ML</v>
      </c>
      <c r="D27" s="81" t="str">
        <f>IF(C4&lt;=0, "Peso inválido", ROUND((0.08*C4/0.1)*2, 2) &amp; " ML")</f>
        <v>67,2 ML</v>
      </c>
      <c r="E27" s="191"/>
      <c r="F27" s="67"/>
    </row>
    <row r="28" spans="1:6" ht="16.5" customHeight="1" x14ac:dyDescent="0.2">
      <c r="A28" s="185"/>
      <c r="B28" s="82" t="s">
        <v>412</v>
      </c>
      <c r="C28" s="82" t="str">
        <f>IF(C4&lt;=0, "Peso inválido", ROUND(0.1*C4/0.1, 2) &amp; " ML")</f>
        <v>42 ML</v>
      </c>
      <c r="D28" s="82" t="str">
        <f>IF(C4&lt;=0, "Peso inválido", ROUND((0.1*C4/0.1)*2, 2) &amp; " ML")</f>
        <v>84 ML</v>
      </c>
      <c r="E28" s="191"/>
      <c r="F28" s="67"/>
    </row>
    <row r="29" spans="1:6" ht="15.75" customHeight="1" x14ac:dyDescent="0.2">
      <c r="A29" s="186"/>
      <c r="B29" s="198"/>
      <c r="C29" s="199"/>
      <c r="D29" s="199"/>
      <c r="E29" s="192"/>
      <c r="F29" s="67"/>
    </row>
    <row r="30" spans="1:6" ht="15.75" customHeight="1" x14ac:dyDescent="0.2">
      <c r="F30" s="67"/>
    </row>
    <row r="31" spans="1:6" ht="15.75" customHeight="1" x14ac:dyDescent="0.2">
      <c r="F31" s="67"/>
    </row>
    <row r="32" spans="1:6" ht="15.75" customHeight="1" x14ac:dyDescent="0.2">
      <c r="F32" s="67"/>
    </row>
    <row r="33" spans="6:6" ht="15.75" customHeight="1" x14ac:dyDescent="0.2">
      <c r="F33" s="67"/>
    </row>
    <row r="34" spans="6:6" ht="15.75" customHeight="1" x14ac:dyDescent="0.2">
      <c r="F34" s="67"/>
    </row>
    <row r="35" spans="6:6" ht="15.75" customHeight="1" x14ac:dyDescent="0.2">
      <c r="F35" s="67"/>
    </row>
    <row r="36" spans="6:6" ht="15.75" customHeight="1" x14ac:dyDescent="0.2">
      <c r="F36" s="67"/>
    </row>
    <row r="37" spans="6:6" ht="15.75" customHeight="1" x14ac:dyDescent="0.2">
      <c r="F37" s="67"/>
    </row>
    <row r="38" spans="6:6" ht="15.75" customHeight="1" x14ac:dyDescent="0.2">
      <c r="F38" s="67"/>
    </row>
    <row r="39" spans="6:6" ht="15.75" customHeight="1" x14ac:dyDescent="0.2">
      <c r="F39" s="67"/>
    </row>
    <row r="40" spans="6:6" ht="15.75" customHeight="1" x14ac:dyDescent="0.2">
      <c r="F40" s="67"/>
    </row>
    <row r="41" spans="6:6" ht="15.75" customHeight="1" x14ac:dyDescent="0.2">
      <c r="F41" s="67"/>
    </row>
    <row r="42" spans="6:6" ht="15.75" customHeight="1" x14ac:dyDescent="0.2">
      <c r="F42" s="67"/>
    </row>
    <row r="43" spans="6:6" ht="15.75" customHeight="1" x14ac:dyDescent="0.2">
      <c r="F43" s="67"/>
    </row>
    <row r="44" spans="6:6" ht="15.75" customHeight="1" x14ac:dyDescent="0.2">
      <c r="F44" s="67"/>
    </row>
    <row r="45" spans="6:6" ht="15.75" customHeight="1" x14ac:dyDescent="0.2">
      <c r="F45" s="67"/>
    </row>
    <row r="46" spans="6:6" ht="15.75" customHeight="1" x14ac:dyDescent="0.2">
      <c r="F46" s="67"/>
    </row>
    <row r="47" spans="6:6" ht="15.75" customHeight="1" x14ac:dyDescent="0.2">
      <c r="F47" s="67"/>
    </row>
    <row r="48" spans="6:6" ht="15.75" customHeight="1" x14ac:dyDescent="0.2">
      <c r="F48" s="67"/>
    </row>
    <row r="49" spans="6:6" ht="15.75" customHeight="1" x14ac:dyDescent="0.2">
      <c r="F49" s="67"/>
    </row>
    <row r="50" spans="6:6" ht="15.75" customHeight="1" x14ac:dyDescent="0.2">
      <c r="F50" s="67"/>
    </row>
    <row r="51" spans="6:6" ht="15.75" customHeight="1" x14ac:dyDescent="0.2">
      <c r="F51" s="67"/>
    </row>
    <row r="52" spans="6:6" ht="15.75" customHeight="1" x14ac:dyDescent="0.2">
      <c r="F52" s="67"/>
    </row>
    <row r="53" spans="6:6" ht="15.75" customHeight="1" x14ac:dyDescent="0.2">
      <c r="F53" s="67"/>
    </row>
    <row r="54" spans="6:6" ht="15.75" customHeight="1" x14ac:dyDescent="0.2">
      <c r="F54" s="67"/>
    </row>
    <row r="55" spans="6:6" ht="15.75" customHeight="1" x14ac:dyDescent="0.2">
      <c r="F55" s="67"/>
    </row>
    <row r="56" spans="6:6" ht="15.75" customHeight="1" x14ac:dyDescent="0.2">
      <c r="F56" s="67"/>
    </row>
    <row r="57" spans="6:6" ht="15.75" customHeight="1" x14ac:dyDescent="0.2">
      <c r="F57" s="67"/>
    </row>
    <row r="58" spans="6:6" ht="15.75" customHeight="1" x14ac:dyDescent="0.2">
      <c r="F58" s="67"/>
    </row>
    <row r="59" spans="6:6" ht="15.75" customHeight="1" x14ac:dyDescent="0.2">
      <c r="F59" s="67"/>
    </row>
    <row r="60" spans="6:6" ht="15.75" customHeight="1" x14ac:dyDescent="0.2">
      <c r="F60" s="67"/>
    </row>
    <row r="61" spans="6:6" ht="15.75" customHeight="1" x14ac:dyDescent="0.2">
      <c r="F61" s="67"/>
    </row>
    <row r="62" spans="6:6" ht="15.75" customHeight="1" x14ac:dyDescent="0.2">
      <c r="F62" s="67"/>
    </row>
    <row r="63" spans="6:6" ht="15.75" customHeight="1" x14ac:dyDescent="0.2">
      <c r="F63" s="67"/>
    </row>
    <row r="64" spans="6:6" ht="15.75" customHeight="1" x14ac:dyDescent="0.2">
      <c r="F64" s="67"/>
    </row>
    <row r="65" spans="6:6" ht="15.75" customHeight="1" x14ac:dyDescent="0.2">
      <c r="F65" s="67"/>
    </row>
    <row r="66" spans="6:6" ht="15.75" customHeight="1" x14ac:dyDescent="0.2">
      <c r="F66" s="67"/>
    </row>
    <row r="67" spans="6:6" ht="15.75" customHeight="1" x14ac:dyDescent="0.2">
      <c r="F67" s="67"/>
    </row>
    <row r="68" spans="6:6" ht="15.75" customHeight="1" x14ac:dyDescent="0.2">
      <c r="F68" s="67"/>
    </row>
    <row r="69" spans="6:6" ht="15.75" customHeight="1" x14ac:dyDescent="0.2">
      <c r="F69" s="67"/>
    </row>
    <row r="70" spans="6:6" ht="15.75" customHeight="1" x14ac:dyDescent="0.2">
      <c r="F70" s="67"/>
    </row>
    <row r="71" spans="6:6" ht="15.75" customHeight="1" x14ac:dyDescent="0.2">
      <c r="F71" s="67"/>
    </row>
    <row r="72" spans="6:6" ht="15.75" customHeight="1" x14ac:dyDescent="0.2">
      <c r="F72" s="67"/>
    </row>
    <row r="73" spans="6:6" ht="15.75" customHeight="1" x14ac:dyDescent="0.2">
      <c r="F73" s="67"/>
    </row>
    <row r="74" spans="6:6" ht="15.75" customHeight="1" x14ac:dyDescent="0.2">
      <c r="F74" s="67"/>
    </row>
    <row r="75" spans="6:6" ht="15.75" customHeight="1" x14ac:dyDescent="0.2">
      <c r="F75" s="67"/>
    </row>
    <row r="76" spans="6:6" ht="15.75" customHeight="1" x14ac:dyDescent="0.2">
      <c r="F76" s="67"/>
    </row>
    <row r="77" spans="6:6" ht="15.75" customHeight="1" x14ac:dyDescent="0.2">
      <c r="F77" s="67"/>
    </row>
    <row r="78" spans="6:6" ht="15.75" customHeight="1" x14ac:dyDescent="0.2">
      <c r="F78" s="67"/>
    </row>
    <row r="79" spans="6:6" ht="15.75" customHeight="1" x14ac:dyDescent="0.2">
      <c r="F79" s="67"/>
    </row>
    <row r="80" spans="6:6" ht="15.75" customHeight="1" x14ac:dyDescent="0.2">
      <c r="F80" s="67"/>
    </row>
    <row r="81" spans="6:6" ht="15.75" customHeight="1" x14ac:dyDescent="0.2">
      <c r="F81" s="67"/>
    </row>
    <row r="82" spans="6:6" ht="15.75" customHeight="1" x14ac:dyDescent="0.2">
      <c r="F82" s="67"/>
    </row>
    <row r="83" spans="6:6" ht="15.75" customHeight="1" x14ac:dyDescent="0.2">
      <c r="F83" s="67"/>
    </row>
    <row r="84" spans="6:6" ht="15.75" customHeight="1" x14ac:dyDescent="0.2">
      <c r="F84" s="67"/>
    </row>
    <row r="85" spans="6:6" ht="15.75" customHeight="1" x14ac:dyDescent="0.2">
      <c r="F85" s="67"/>
    </row>
    <row r="86" spans="6:6" ht="15.75" customHeight="1" x14ac:dyDescent="0.2">
      <c r="F86" s="67"/>
    </row>
    <row r="87" spans="6:6" ht="15.75" customHeight="1" x14ac:dyDescent="0.2">
      <c r="F87" s="67"/>
    </row>
    <row r="88" spans="6:6" ht="15.75" customHeight="1" x14ac:dyDescent="0.2">
      <c r="F88" s="67"/>
    </row>
    <row r="89" spans="6:6" ht="15.75" customHeight="1" x14ac:dyDescent="0.2">
      <c r="F89" s="67"/>
    </row>
    <row r="90" spans="6:6" ht="15.75" customHeight="1" x14ac:dyDescent="0.2">
      <c r="F90" s="67"/>
    </row>
    <row r="91" spans="6:6" ht="15.75" customHeight="1" x14ac:dyDescent="0.2">
      <c r="F91" s="67"/>
    </row>
    <row r="92" spans="6:6" ht="15.75" customHeight="1" x14ac:dyDescent="0.2">
      <c r="F92" s="67"/>
    </row>
    <row r="93" spans="6:6" ht="15.75" customHeight="1" x14ac:dyDescent="0.2">
      <c r="F93" s="67"/>
    </row>
    <row r="94" spans="6:6" ht="15.75" customHeight="1" x14ac:dyDescent="0.2">
      <c r="F94" s="67"/>
    </row>
    <row r="95" spans="6:6" ht="15.75" customHeight="1" x14ac:dyDescent="0.2">
      <c r="F95" s="67"/>
    </row>
    <row r="96" spans="6:6" ht="15.75" customHeight="1" x14ac:dyDescent="0.2">
      <c r="F96" s="67"/>
    </row>
    <row r="97" spans="6:6" ht="15.75" customHeight="1" x14ac:dyDescent="0.2">
      <c r="F97" s="67"/>
    </row>
    <row r="98" spans="6:6" ht="15.75" customHeight="1" x14ac:dyDescent="0.2">
      <c r="F98" s="67"/>
    </row>
    <row r="99" spans="6:6" ht="15.75" customHeight="1" x14ac:dyDescent="0.2">
      <c r="F99" s="67"/>
    </row>
    <row r="100" spans="6:6" ht="15.75" customHeight="1" x14ac:dyDescent="0.2">
      <c r="F100" s="67"/>
    </row>
    <row r="101" spans="6:6" ht="15.75" customHeight="1" x14ac:dyDescent="0.2">
      <c r="F101" s="67"/>
    </row>
    <row r="102" spans="6:6" ht="15.75" customHeight="1" x14ac:dyDescent="0.2">
      <c r="F102" s="67"/>
    </row>
    <row r="103" spans="6:6" ht="15.75" customHeight="1" x14ac:dyDescent="0.2">
      <c r="F103" s="67"/>
    </row>
    <row r="104" spans="6:6" ht="15.75" customHeight="1" x14ac:dyDescent="0.2">
      <c r="F104" s="67"/>
    </row>
    <row r="105" spans="6:6" ht="15.75" customHeight="1" x14ac:dyDescent="0.2">
      <c r="F105" s="67"/>
    </row>
    <row r="106" spans="6:6" ht="15.75" customHeight="1" x14ac:dyDescent="0.2">
      <c r="F106" s="67"/>
    </row>
    <row r="107" spans="6:6" ht="15.75" customHeight="1" x14ac:dyDescent="0.2">
      <c r="F107" s="67"/>
    </row>
    <row r="108" spans="6:6" ht="15.75" customHeight="1" x14ac:dyDescent="0.2">
      <c r="F108" s="67"/>
    </row>
    <row r="109" spans="6:6" ht="15.75" customHeight="1" x14ac:dyDescent="0.2">
      <c r="F109" s="67"/>
    </row>
    <row r="110" spans="6:6" ht="15.75" customHeight="1" x14ac:dyDescent="0.2">
      <c r="F110" s="67"/>
    </row>
    <row r="111" spans="6:6" ht="15.75" customHeight="1" x14ac:dyDescent="0.2">
      <c r="F111" s="67"/>
    </row>
    <row r="112" spans="6:6" ht="15.75" customHeight="1" x14ac:dyDescent="0.2">
      <c r="F112" s="67"/>
    </row>
    <row r="113" spans="6:6" ht="15.75" customHeight="1" x14ac:dyDescent="0.2">
      <c r="F113" s="67"/>
    </row>
    <row r="114" spans="6:6" ht="15.75" customHeight="1" x14ac:dyDescent="0.2">
      <c r="F114" s="67"/>
    </row>
    <row r="115" spans="6:6" ht="15.75" customHeight="1" x14ac:dyDescent="0.2">
      <c r="F115" s="67"/>
    </row>
    <row r="116" spans="6:6" ht="15.75" customHeight="1" x14ac:dyDescent="0.2">
      <c r="F116" s="67"/>
    </row>
    <row r="117" spans="6:6" ht="15.75" customHeight="1" x14ac:dyDescent="0.2">
      <c r="F117" s="67"/>
    </row>
    <row r="118" spans="6:6" ht="15.75" customHeight="1" x14ac:dyDescent="0.2">
      <c r="F118" s="67"/>
    </row>
    <row r="119" spans="6:6" ht="15.75" customHeight="1" x14ac:dyDescent="0.2">
      <c r="F119" s="67"/>
    </row>
    <row r="120" spans="6:6" ht="15.75" customHeight="1" x14ac:dyDescent="0.2">
      <c r="F120" s="67"/>
    </row>
    <row r="121" spans="6:6" ht="15.75" customHeight="1" x14ac:dyDescent="0.2">
      <c r="F121" s="67"/>
    </row>
    <row r="122" spans="6:6" ht="15.75" customHeight="1" x14ac:dyDescent="0.2">
      <c r="F122" s="67"/>
    </row>
    <row r="123" spans="6:6" ht="15.75" customHeight="1" x14ac:dyDescent="0.2">
      <c r="F123" s="67"/>
    </row>
    <row r="124" spans="6:6" ht="15.75" customHeight="1" x14ac:dyDescent="0.2">
      <c r="F124" s="67"/>
    </row>
    <row r="125" spans="6:6" ht="15.75" customHeight="1" x14ac:dyDescent="0.2">
      <c r="F125" s="67"/>
    </row>
    <row r="126" spans="6:6" ht="15.75" customHeight="1" x14ac:dyDescent="0.2">
      <c r="F126" s="67"/>
    </row>
    <row r="127" spans="6:6" ht="15.75" customHeight="1" x14ac:dyDescent="0.2">
      <c r="F127" s="67"/>
    </row>
    <row r="128" spans="6:6" ht="15.75" customHeight="1" x14ac:dyDescent="0.2">
      <c r="F128" s="67"/>
    </row>
    <row r="129" spans="6:6" ht="15.75" customHeight="1" x14ac:dyDescent="0.2">
      <c r="F129" s="67"/>
    </row>
    <row r="130" spans="6:6" ht="15.75" customHeight="1" x14ac:dyDescent="0.2">
      <c r="F130" s="67"/>
    </row>
    <row r="131" spans="6:6" ht="15.75" customHeight="1" x14ac:dyDescent="0.2">
      <c r="F131" s="67"/>
    </row>
    <row r="132" spans="6:6" ht="15.75" customHeight="1" x14ac:dyDescent="0.2">
      <c r="F132" s="67"/>
    </row>
    <row r="133" spans="6:6" ht="15.75" customHeight="1" x14ac:dyDescent="0.2">
      <c r="F133" s="67"/>
    </row>
    <row r="134" spans="6:6" ht="15.75" customHeight="1" x14ac:dyDescent="0.2">
      <c r="F134" s="67"/>
    </row>
    <row r="135" spans="6:6" ht="15.75" customHeight="1" x14ac:dyDescent="0.2">
      <c r="F135" s="67"/>
    </row>
    <row r="136" spans="6:6" ht="15.75" customHeight="1" x14ac:dyDescent="0.2">
      <c r="F136" s="67"/>
    </row>
    <row r="137" spans="6:6" ht="15.75" customHeight="1" x14ac:dyDescent="0.2">
      <c r="F137" s="67"/>
    </row>
    <row r="138" spans="6:6" ht="15.75" customHeight="1" x14ac:dyDescent="0.2">
      <c r="F138" s="67"/>
    </row>
    <row r="139" spans="6:6" ht="15.75" customHeight="1" x14ac:dyDescent="0.2">
      <c r="F139" s="67"/>
    </row>
    <row r="140" spans="6:6" ht="15.75" customHeight="1" x14ac:dyDescent="0.2">
      <c r="F140" s="67"/>
    </row>
    <row r="141" spans="6:6" ht="15.75" customHeight="1" x14ac:dyDescent="0.2">
      <c r="F141" s="67"/>
    </row>
    <row r="142" spans="6:6" ht="15.75" customHeight="1" x14ac:dyDescent="0.2">
      <c r="F142" s="67"/>
    </row>
    <row r="143" spans="6:6" ht="15.75" customHeight="1" x14ac:dyDescent="0.2">
      <c r="F143" s="67"/>
    </row>
    <row r="144" spans="6:6" ht="15.75" customHeight="1" x14ac:dyDescent="0.2">
      <c r="F144" s="67"/>
    </row>
    <row r="145" spans="6:6" ht="15.75" customHeight="1" x14ac:dyDescent="0.2">
      <c r="F145" s="67"/>
    </row>
    <row r="146" spans="6:6" ht="15.75" customHeight="1" x14ac:dyDescent="0.2">
      <c r="F146" s="67"/>
    </row>
    <row r="147" spans="6:6" ht="15.75" customHeight="1" x14ac:dyDescent="0.2">
      <c r="F147" s="67"/>
    </row>
    <row r="148" spans="6:6" ht="15.75" customHeight="1" x14ac:dyDescent="0.2">
      <c r="F148" s="67"/>
    </row>
    <row r="149" spans="6:6" ht="15.75" customHeight="1" x14ac:dyDescent="0.2">
      <c r="F149" s="67"/>
    </row>
    <row r="150" spans="6:6" ht="15.75" customHeight="1" x14ac:dyDescent="0.2">
      <c r="F150" s="67"/>
    </row>
    <row r="151" spans="6:6" ht="15.75" customHeight="1" x14ac:dyDescent="0.2">
      <c r="F151" s="67"/>
    </row>
    <row r="152" spans="6:6" ht="15.75" customHeight="1" x14ac:dyDescent="0.2">
      <c r="F152" s="67"/>
    </row>
    <row r="153" spans="6:6" ht="15.75" customHeight="1" x14ac:dyDescent="0.2">
      <c r="F153" s="67"/>
    </row>
    <row r="154" spans="6:6" ht="15.75" customHeight="1" x14ac:dyDescent="0.2">
      <c r="F154" s="67"/>
    </row>
    <row r="155" spans="6:6" ht="15.75" customHeight="1" x14ac:dyDescent="0.2">
      <c r="F155" s="67"/>
    </row>
    <row r="156" spans="6:6" ht="15.75" customHeight="1" x14ac:dyDescent="0.2">
      <c r="F156" s="67"/>
    </row>
    <row r="157" spans="6:6" ht="15.75" customHeight="1" x14ac:dyDescent="0.2">
      <c r="F157" s="67"/>
    </row>
    <row r="158" spans="6:6" ht="15.75" customHeight="1" x14ac:dyDescent="0.2">
      <c r="F158" s="67"/>
    </row>
    <row r="159" spans="6:6" ht="15.75" customHeight="1" x14ac:dyDescent="0.2">
      <c r="F159" s="67"/>
    </row>
    <row r="160" spans="6:6" ht="15.75" customHeight="1" x14ac:dyDescent="0.2">
      <c r="F160" s="67"/>
    </row>
    <row r="161" spans="6:6" ht="15.75" customHeight="1" x14ac:dyDescent="0.2">
      <c r="F161" s="67"/>
    </row>
    <row r="162" spans="6:6" ht="15.75" customHeight="1" x14ac:dyDescent="0.2">
      <c r="F162" s="67"/>
    </row>
    <row r="163" spans="6:6" ht="15.75" customHeight="1" x14ac:dyDescent="0.2">
      <c r="F163" s="67"/>
    </row>
    <row r="164" spans="6:6" ht="15.75" customHeight="1" x14ac:dyDescent="0.2">
      <c r="F164" s="67"/>
    </row>
    <row r="165" spans="6:6" ht="15.75" customHeight="1" x14ac:dyDescent="0.2">
      <c r="F165" s="67"/>
    </row>
    <row r="166" spans="6:6" ht="15.75" customHeight="1" x14ac:dyDescent="0.2">
      <c r="F166" s="67"/>
    </row>
    <row r="167" spans="6:6" ht="15.75" customHeight="1" x14ac:dyDescent="0.2">
      <c r="F167" s="67"/>
    </row>
    <row r="168" spans="6:6" ht="15.75" customHeight="1" x14ac:dyDescent="0.2">
      <c r="F168" s="67"/>
    </row>
    <row r="169" spans="6:6" ht="15.75" customHeight="1" x14ac:dyDescent="0.2">
      <c r="F169" s="67"/>
    </row>
    <row r="170" spans="6:6" ht="15.75" customHeight="1" x14ac:dyDescent="0.2">
      <c r="F170" s="67"/>
    </row>
    <row r="171" spans="6:6" ht="15.75" customHeight="1" x14ac:dyDescent="0.2">
      <c r="F171" s="67"/>
    </row>
    <row r="172" spans="6:6" ht="15.75" customHeight="1" x14ac:dyDescent="0.2">
      <c r="F172" s="67"/>
    </row>
    <row r="173" spans="6:6" ht="15.75" customHeight="1" x14ac:dyDescent="0.2">
      <c r="F173" s="67"/>
    </row>
    <row r="174" spans="6:6" ht="15.75" customHeight="1" x14ac:dyDescent="0.2">
      <c r="F174" s="67"/>
    </row>
    <row r="175" spans="6:6" ht="15.75" customHeight="1" x14ac:dyDescent="0.2">
      <c r="F175" s="67"/>
    </row>
    <row r="176" spans="6:6" ht="15.75" customHeight="1" x14ac:dyDescent="0.2">
      <c r="F176" s="67"/>
    </row>
    <row r="177" spans="6:6" ht="15.75" customHeight="1" x14ac:dyDescent="0.2">
      <c r="F177" s="67"/>
    </row>
    <row r="178" spans="6:6" ht="15.75" customHeight="1" x14ac:dyDescent="0.2">
      <c r="F178" s="67"/>
    </row>
    <row r="179" spans="6:6" ht="15.75" customHeight="1" x14ac:dyDescent="0.2">
      <c r="F179" s="67"/>
    </row>
    <row r="180" spans="6:6" ht="15.75" customHeight="1" x14ac:dyDescent="0.2">
      <c r="F180" s="67"/>
    </row>
    <row r="181" spans="6:6" ht="15.75" customHeight="1" x14ac:dyDescent="0.2">
      <c r="F181" s="67"/>
    </row>
    <row r="182" spans="6:6" ht="15.75" customHeight="1" x14ac:dyDescent="0.2">
      <c r="F182" s="67"/>
    </row>
    <row r="183" spans="6:6" ht="15.75" customHeight="1" x14ac:dyDescent="0.2">
      <c r="F183" s="67"/>
    </row>
    <row r="184" spans="6:6" ht="15.75" customHeight="1" x14ac:dyDescent="0.2">
      <c r="F184" s="67"/>
    </row>
    <row r="185" spans="6:6" ht="15.75" customHeight="1" x14ac:dyDescent="0.2">
      <c r="F185" s="67"/>
    </row>
    <row r="186" spans="6:6" ht="15.75" customHeight="1" x14ac:dyDescent="0.2">
      <c r="F186" s="67"/>
    </row>
    <row r="187" spans="6:6" ht="15.75" customHeight="1" x14ac:dyDescent="0.2">
      <c r="F187" s="67"/>
    </row>
    <row r="188" spans="6:6" ht="15.75" customHeight="1" x14ac:dyDescent="0.2">
      <c r="F188" s="67"/>
    </row>
    <row r="189" spans="6:6" ht="15.75" customHeight="1" x14ac:dyDescent="0.2">
      <c r="F189" s="67"/>
    </row>
    <row r="190" spans="6:6" ht="15.75" customHeight="1" x14ac:dyDescent="0.2">
      <c r="F190" s="67"/>
    </row>
    <row r="191" spans="6:6" ht="15.75" customHeight="1" x14ac:dyDescent="0.2">
      <c r="F191" s="67"/>
    </row>
    <row r="192" spans="6:6" ht="15.75" customHeight="1" x14ac:dyDescent="0.2">
      <c r="F192" s="67"/>
    </row>
    <row r="193" spans="6:6" ht="15.75" customHeight="1" x14ac:dyDescent="0.2">
      <c r="F193" s="67"/>
    </row>
    <row r="194" spans="6:6" ht="15.75" customHeight="1" x14ac:dyDescent="0.2">
      <c r="F194" s="67"/>
    </row>
    <row r="195" spans="6:6" ht="15.75" customHeight="1" x14ac:dyDescent="0.2">
      <c r="F195" s="67"/>
    </row>
    <row r="196" spans="6:6" ht="15.75" customHeight="1" x14ac:dyDescent="0.2">
      <c r="F196" s="67"/>
    </row>
    <row r="197" spans="6:6" ht="15.75" customHeight="1" x14ac:dyDescent="0.2">
      <c r="F197" s="67"/>
    </row>
    <row r="198" spans="6:6" ht="15.75" customHeight="1" x14ac:dyDescent="0.2">
      <c r="F198" s="67"/>
    </row>
    <row r="199" spans="6:6" ht="15.75" customHeight="1" x14ac:dyDescent="0.2">
      <c r="F199" s="67"/>
    </row>
    <row r="200" spans="6:6" ht="15.75" customHeight="1" x14ac:dyDescent="0.2">
      <c r="F200" s="67"/>
    </row>
    <row r="201" spans="6:6" ht="15.75" customHeight="1" x14ac:dyDescent="0.2">
      <c r="F201" s="67"/>
    </row>
    <row r="202" spans="6:6" ht="15.75" customHeight="1" x14ac:dyDescent="0.2">
      <c r="F202" s="67"/>
    </row>
    <row r="203" spans="6:6" ht="15.75" customHeight="1" x14ac:dyDescent="0.2">
      <c r="F203" s="67"/>
    </row>
    <row r="204" spans="6:6" ht="15.75" customHeight="1" x14ac:dyDescent="0.2">
      <c r="F204" s="67"/>
    </row>
    <row r="205" spans="6:6" ht="15.75" customHeight="1" x14ac:dyDescent="0.2">
      <c r="F205" s="67"/>
    </row>
    <row r="206" spans="6:6" ht="15.75" customHeight="1" x14ac:dyDescent="0.2">
      <c r="F206" s="67"/>
    </row>
    <row r="207" spans="6:6" ht="15.75" customHeight="1" x14ac:dyDescent="0.2">
      <c r="F207" s="67"/>
    </row>
    <row r="208" spans="6:6" ht="15.75" customHeight="1" x14ac:dyDescent="0.2">
      <c r="F208" s="67"/>
    </row>
    <row r="209" spans="6:6" ht="15.75" customHeight="1" x14ac:dyDescent="0.2">
      <c r="F209" s="67"/>
    </row>
    <row r="210" spans="6:6" ht="15.75" customHeight="1" x14ac:dyDescent="0.2">
      <c r="F210" s="67"/>
    </row>
    <row r="211" spans="6:6" ht="15.75" customHeight="1" x14ac:dyDescent="0.2">
      <c r="F211" s="67"/>
    </row>
    <row r="212" spans="6:6" ht="15.75" customHeight="1" x14ac:dyDescent="0.2">
      <c r="F212" s="67"/>
    </row>
    <row r="213" spans="6:6" ht="15.75" customHeight="1" x14ac:dyDescent="0.2">
      <c r="F213" s="67"/>
    </row>
    <row r="214" spans="6:6" ht="15.75" customHeight="1" x14ac:dyDescent="0.2">
      <c r="F214" s="67"/>
    </row>
    <row r="215" spans="6:6" ht="15.75" customHeight="1" x14ac:dyDescent="0.2">
      <c r="F215" s="67"/>
    </row>
    <row r="216" spans="6:6" ht="15.75" customHeight="1" x14ac:dyDescent="0.2">
      <c r="F216" s="67"/>
    </row>
    <row r="217" spans="6:6" ht="15.75" customHeight="1" x14ac:dyDescent="0.2">
      <c r="F217" s="67"/>
    </row>
    <row r="218" spans="6:6" ht="15.75" customHeight="1" x14ac:dyDescent="0.2">
      <c r="F218" s="67"/>
    </row>
    <row r="219" spans="6:6" ht="15.75" customHeight="1" x14ac:dyDescent="0.2">
      <c r="F219" s="67"/>
    </row>
    <row r="220" spans="6:6" ht="15.75" customHeight="1" x14ac:dyDescent="0.2">
      <c r="F220" s="67"/>
    </row>
    <row r="221" spans="6:6" ht="15.75" customHeight="1" x14ac:dyDescent="0.2">
      <c r="F221" s="67"/>
    </row>
    <row r="222" spans="6:6" ht="15.75" customHeight="1" x14ac:dyDescent="0.2">
      <c r="F222" s="67"/>
    </row>
    <row r="223" spans="6:6" ht="15.75" customHeight="1" x14ac:dyDescent="0.2">
      <c r="F223" s="67"/>
    </row>
    <row r="224" spans="6:6" ht="15.75" customHeight="1" x14ac:dyDescent="0.2">
      <c r="F224" s="67"/>
    </row>
    <row r="225" spans="6:6" ht="15.75" customHeight="1" x14ac:dyDescent="0.2">
      <c r="F225" s="67"/>
    </row>
    <row r="226" spans="6:6" ht="15.75" customHeight="1" x14ac:dyDescent="0.2">
      <c r="F226" s="67"/>
    </row>
    <row r="227" spans="6:6" ht="15.75" customHeight="1" x14ac:dyDescent="0.2">
      <c r="F227" s="67"/>
    </row>
    <row r="228" spans="6:6" ht="15.75" customHeight="1" x14ac:dyDescent="0.2">
      <c r="F228" s="67"/>
    </row>
    <row r="229" spans="6:6" ht="15.75" customHeight="1" x14ac:dyDescent="0.2">
      <c r="F229" s="67"/>
    </row>
    <row r="230" spans="6:6" ht="15.75" customHeight="1" x14ac:dyDescent="0.2">
      <c r="F230" s="67"/>
    </row>
    <row r="231" spans="6:6" ht="15.75" customHeight="1" x14ac:dyDescent="0.2">
      <c r="F231" s="67"/>
    </row>
    <row r="232" spans="6:6" ht="15.75" customHeight="1" x14ac:dyDescent="0.2">
      <c r="F232" s="67"/>
    </row>
    <row r="233" spans="6:6" ht="15.75" customHeight="1" x14ac:dyDescent="0.2">
      <c r="F233" s="67"/>
    </row>
    <row r="234" spans="6:6" ht="15.75" customHeight="1" x14ac:dyDescent="0.2">
      <c r="F234" s="67"/>
    </row>
    <row r="235" spans="6:6" ht="15.75" customHeight="1" x14ac:dyDescent="0.2">
      <c r="F235" s="67"/>
    </row>
    <row r="236" spans="6:6" ht="15.75" customHeight="1" x14ac:dyDescent="0.2">
      <c r="F236" s="67"/>
    </row>
    <row r="237" spans="6:6" ht="15.75" customHeight="1" x14ac:dyDescent="0.2">
      <c r="F237" s="67"/>
    </row>
    <row r="238" spans="6:6" ht="15.75" customHeight="1" x14ac:dyDescent="0.2">
      <c r="F238" s="67"/>
    </row>
    <row r="239" spans="6:6" ht="15.75" customHeight="1" x14ac:dyDescent="0.2">
      <c r="F239" s="67"/>
    </row>
    <row r="240" spans="6:6" ht="15.75" customHeight="1" x14ac:dyDescent="0.2">
      <c r="F240" s="67"/>
    </row>
    <row r="241" spans="6:6" ht="15.75" customHeight="1" x14ac:dyDescent="0.2">
      <c r="F241" s="67"/>
    </row>
    <row r="242" spans="6:6" ht="15.75" customHeight="1" x14ac:dyDescent="0.2">
      <c r="F242" s="67"/>
    </row>
    <row r="243" spans="6:6" ht="15.75" customHeight="1" x14ac:dyDescent="0.2">
      <c r="F243" s="67"/>
    </row>
    <row r="244" spans="6:6" ht="15.75" customHeight="1" x14ac:dyDescent="0.2">
      <c r="F244" s="67"/>
    </row>
    <row r="245" spans="6:6" ht="15.75" customHeight="1" x14ac:dyDescent="0.2">
      <c r="F245" s="67"/>
    </row>
    <row r="246" spans="6:6" ht="15.75" customHeight="1" x14ac:dyDescent="0.2">
      <c r="F246" s="67"/>
    </row>
    <row r="247" spans="6:6" ht="15.75" customHeight="1" x14ac:dyDescent="0.2">
      <c r="F247" s="67"/>
    </row>
    <row r="248" spans="6:6" ht="15.75" customHeight="1" x14ac:dyDescent="0.2">
      <c r="F248" s="67"/>
    </row>
    <row r="249" spans="6:6" ht="15.75" customHeight="1" x14ac:dyDescent="0.2">
      <c r="F249" s="67"/>
    </row>
    <row r="250" spans="6:6" ht="15.75" customHeight="1" x14ac:dyDescent="0.2">
      <c r="F250" s="67"/>
    </row>
    <row r="251" spans="6:6" ht="15.75" customHeight="1" x14ac:dyDescent="0.2">
      <c r="F251" s="67"/>
    </row>
    <row r="252" spans="6:6" ht="15.75" customHeight="1" x14ac:dyDescent="0.2">
      <c r="F252" s="67"/>
    </row>
    <row r="253" spans="6:6" ht="15.75" customHeight="1" x14ac:dyDescent="0.2">
      <c r="F253" s="67"/>
    </row>
    <row r="254" spans="6:6" ht="15.75" customHeight="1" x14ac:dyDescent="0.2">
      <c r="F254" s="67"/>
    </row>
    <row r="255" spans="6:6" ht="15.75" customHeight="1" x14ac:dyDescent="0.2">
      <c r="F255" s="67"/>
    </row>
    <row r="256" spans="6:6" ht="15.75" customHeight="1" x14ac:dyDescent="0.2">
      <c r="F256" s="67"/>
    </row>
    <row r="257" spans="6:6" ht="15.75" customHeight="1" x14ac:dyDescent="0.2">
      <c r="F257" s="67"/>
    </row>
    <row r="258" spans="6:6" ht="15.75" customHeight="1" x14ac:dyDescent="0.2">
      <c r="F258" s="67"/>
    </row>
    <row r="259" spans="6:6" ht="15.75" customHeight="1" x14ac:dyDescent="0.2">
      <c r="F259" s="67"/>
    </row>
    <row r="260" spans="6:6" ht="15.75" customHeight="1" x14ac:dyDescent="0.2">
      <c r="F260" s="67"/>
    </row>
    <row r="261" spans="6:6" ht="15.75" customHeight="1" x14ac:dyDescent="0.2">
      <c r="F261" s="67"/>
    </row>
    <row r="262" spans="6:6" ht="15.75" customHeight="1" x14ac:dyDescent="0.2">
      <c r="F262" s="67"/>
    </row>
    <row r="263" spans="6:6" ht="15.75" customHeight="1" x14ac:dyDescent="0.2">
      <c r="F263" s="67"/>
    </row>
    <row r="264" spans="6:6" ht="15.75" customHeight="1" x14ac:dyDescent="0.2">
      <c r="F264" s="67"/>
    </row>
    <row r="265" spans="6:6" ht="15.75" customHeight="1" x14ac:dyDescent="0.2">
      <c r="F265" s="67"/>
    </row>
    <row r="266" spans="6:6" ht="15.75" customHeight="1" x14ac:dyDescent="0.2">
      <c r="F266" s="67"/>
    </row>
    <row r="267" spans="6:6" ht="15.75" customHeight="1" x14ac:dyDescent="0.2">
      <c r="F267" s="67"/>
    </row>
    <row r="268" spans="6:6" ht="15.75" customHeight="1" x14ac:dyDescent="0.2">
      <c r="F268" s="67"/>
    </row>
    <row r="269" spans="6:6" ht="15.75" customHeight="1" x14ac:dyDescent="0.2">
      <c r="F269" s="67"/>
    </row>
    <row r="270" spans="6:6" ht="15.75" customHeight="1" x14ac:dyDescent="0.2">
      <c r="F270" s="67"/>
    </row>
    <row r="271" spans="6:6" ht="15.75" customHeight="1" x14ac:dyDescent="0.2">
      <c r="F271" s="67"/>
    </row>
    <row r="272" spans="6:6" ht="15.75" customHeight="1" x14ac:dyDescent="0.2">
      <c r="F272" s="67"/>
    </row>
    <row r="273" spans="6:6" ht="15.75" customHeight="1" x14ac:dyDescent="0.2">
      <c r="F273" s="67"/>
    </row>
    <row r="274" spans="6:6" ht="15.75" customHeight="1" x14ac:dyDescent="0.2">
      <c r="F274" s="67"/>
    </row>
    <row r="275" spans="6:6" ht="15.75" customHeight="1" x14ac:dyDescent="0.2">
      <c r="F275" s="67"/>
    </row>
    <row r="276" spans="6:6" ht="15.75" customHeight="1" x14ac:dyDescent="0.2">
      <c r="F276" s="67"/>
    </row>
    <row r="277" spans="6:6" ht="15.75" customHeight="1" x14ac:dyDescent="0.2">
      <c r="F277" s="67"/>
    </row>
    <row r="278" spans="6:6" ht="15.75" customHeight="1" x14ac:dyDescent="0.2">
      <c r="F278" s="67"/>
    </row>
    <row r="279" spans="6:6" ht="15.75" customHeight="1" x14ac:dyDescent="0.2">
      <c r="F279" s="67"/>
    </row>
    <row r="280" spans="6:6" ht="15.75" customHeight="1" x14ac:dyDescent="0.2">
      <c r="F280" s="67"/>
    </row>
    <row r="281" spans="6:6" ht="15.75" customHeight="1" x14ac:dyDescent="0.2">
      <c r="F281" s="67"/>
    </row>
    <row r="282" spans="6:6" ht="15.75" customHeight="1" x14ac:dyDescent="0.2">
      <c r="F282" s="67"/>
    </row>
    <row r="283" spans="6:6" ht="15.75" customHeight="1" x14ac:dyDescent="0.2">
      <c r="F283" s="67"/>
    </row>
    <row r="284" spans="6:6" ht="15.75" customHeight="1" x14ac:dyDescent="0.2">
      <c r="F284" s="67"/>
    </row>
    <row r="285" spans="6:6" ht="15.75" customHeight="1" x14ac:dyDescent="0.2">
      <c r="F285" s="67"/>
    </row>
    <row r="286" spans="6:6" ht="15.75" customHeight="1" x14ac:dyDescent="0.2">
      <c r="F286" s="67"/>
    </row>
    <row r="287" spans="6:6" ht="15.75" customHeight="1" x14ac:dyDescent="0.2">
      <c r="F287" s="67"/>
    </row>
    <row r="288" spans="6:6" ht="15.75" customHeight="1" x14ac:dyDescent="0.2">
      <c r="F288" s="67"/>
    </row>
    <row r="289" spans="6:6" ht="15.75" customHeight="1" x14ac:dyDescent="0.2">
      <c r="F289" s="67"/>
    </row>
    <row r="290" spans="6:6" ht="15.75" customHeight="1" x14ac:dyDescent="0.2">
      <c r="F290" s="67"/>
    </row>
    <row r="291" spans="6:6" ht="15.75" customHeight="1" x14ac:dyDescent="0.2">
      <c r="F291" s="67"/>
    </row>
    <row r="292" spans="6:6" ht="15.75" customHeight="1" x14ac:dyDescent="0.2">
      <c r="F292" s="67"/>
    </row>
    <row r="293" spans="6:6" ht="15.75" customHeight="1" x14ac:dyDescent="0.2">
      <c r="F293" s="67"/>
    </row>
    <row r="294" spans="6:6" ht="15.75" customHeight="1" x14ac:dyDescent="0.2">
      <c r="F294" s="67"/>
    </row>
    <row r="295" spans="6:6" ht="15.75" customHeight="1" x14ac:dyDescent="0.2">
      <c r="F295" s="67"/>
    </row>
    <row r="296" spans="6:6" ht="15.75" customHeight="1" x14ac:dyDescent="0.2">
      <c r="F296" s="67"/>
    </row>
    <row r="297" spans="6:6" ht="15.75" customHeight="1" x14ac:dyDescent="0.2">
      <c r="F297" s="67"/>
    </row>
    <row r="298" spans="6:6" ht="15.75" customHeight="1" x14ac:dyDescent="0.2">
      <c r="F298" s="67"/>
    </row>
    <row r="299" spans="6:6" ht="15.75" customHeight="1" x14ac:dyDescent="0.2">
      <c r="F299" s="67"/>
    </row>
    <row r="300" spans="6:6" ht="15.75" customHeight="1" x14ac:dyDescent="0.2">
      <c r="F300" s="67"/>
    </row>
    <row r="301" spans="6:6" ht="15.75" customHeight="1" x14ac:dyDescent="0.2">
      <c r="F301" s="67"/>
    </row>
    <row r="302" spans="6:6" ht="15.75" customHeight="1" x14ac:dyDescent="0.2">
      <c r="F302" s="67"/>
    </row>
    <row r="303" spans="6:6" ht="15.75" customHeight="1" x14ac:dyDescent="0.2">
      <c r="F303" s="67"/>
    </row>
    <row r="304" spans="6:6" ht="15.75" customHeight="1" x14ac:dyDescent="0.2">
      <c r="F304" s="67"/>
    </row>
    <row r="305" spans="6:6" ht="15.75" customHeight="1" x14ac:dyDescent="0.2">
      <c r="F305" s="67"/>
    </row>
    <row r="306" spans="6:6" ht="15.75" customHeight="1" x14ac:dyDescent="0.2">
      <c r="F306" s="67"/>
    </row>
    <row r="307" spans="6:6" ht="15.75" customHeight="1" x14ac:dyDescent="0.2">
      <c r="F307" s="67"/>
    </row>
    <row r="308" spans="6:6" ht="15.75" customHeight="1" x14ac:dyDescent="0.2">
      <c r="F308" s="67"/>
    </row>
    <row r="309" spans="6:6" ht="15.75" customHeight="1" x14ac:dyDescent="0.2">
      <c r="F309" s="67"/>
    </row>
    <row r="310" spans="6:6" ht="15.75" customHeight="1" x14ac:dyDescent="0.2">
      <c r="F310" s="67"/>
    </row>
    <row r="311" spans="6:6" ht="15.75" customHeight="1" x14ac:dyDescent="0.2">
      <c r="F311" s="67"/>
    </row>
    <row r="312" spans="6:6" ht="15.75" customHeight="1" x14ac:dyDescent="0.2">
      <c r="F312" s="67"/>
    </row>
    <row r="313" spans="6:6" ht="15.75" customHeight="1" x14ac:dyDescent="0.2">
      <c r="F313" s="67"/>
    </row>
    <row r="314" spans="6:6" ht="15.75" customHeight="1" x14ac:dyDescent="0.2">
      <c r="F314" s="67"/>
    </row>
    <row r="315" spans="6:6" ht="15.75" customHeight="1" x14ac:dyDescent="0.2">
      <c r="F315" s="67"/>
    </row>
    <row r="316" spans="6:6" ht="15.75" customHeight="1" x14ac:dyDescent="0.2">
      <c r="F316" s="67"/>
    </row>
    <row r="317" spans="6:6" ht="15.75" customHeight="1" x14ac:dyDescent="0.2">
      <c r="F317" s="67"/>
    </row>
    <row r="318" spans="6:6" ht="15.75" customHeight="1" x14ac:dyDescent="0.2">
      <c r="F318" s="67"/>
    </row>
    <row r="319" spans="6:6" ht="15.75" customHeight="1" x14ac:dyDescent="0.2">
      <c r="F319" s="67"/>
    </row>
    <row r="320" spans="6:6" ht="15.75" customHeight="1" x14ac:dyDescent="0.2">
      <c r="F320" s="67"/>
    </row>
    <row r="321" spans="6:6" ht="15.75" customHeight="1" x14ac:dyDescent="0.2">
      <c r="F321" s="67"/>
    </row>
    <row r="322" spans="6:6" ht="15.75" customHeight="1" x14ac:dyDescent="0.2">
      <c r="F322" s="67"/>
    </row>
    <row r="323" spans="6:6" ht="15.75" customHeight="1" x14ac:dyDescent="0.2">
      <c r="F323" s="67"/>
    </row>
    <row r="324" spans="6:6" ht="15.75" customHeight="1" x14ac:dyDescent="0.2">
      <c r="F324" s="67"/>
    </row>
    <row r="325" spans="6:6" ht="15.75" customHeight="1" x14ac:dyDescent="0.2">
      <c r="F325" s="67"/>
    </row>
    <row r="326" spans="6:6" ht="15.75" customHeight="1" x14ac:dyDescent="0.2">
      <c r="F326" s="67"/>
    </row>
    <row r="327" spans="6:6" ht="15.75" customHeight="1" x14ac:dyDescent="0.2">
      <c r="F327" s="67"/>
    </row>
    <row r="328" spans="6:6" ht="15.75" customHeight="1" x14ac:dyDescent="0.2">
      <c r="F328" s="67"/>
    </row>
    <row r="329" spans="6:6" ht="15.75" customHeight="1" x14ac:dyDescent="0.2">
      <c r="F329" s="67"/>
    </row>
    <row r="330" spans="6:6" ht="15.75" customHeight="1" x14ac:dyDescent="0.2">
      <c r="F330" s="67"/>
    </row>
    <row r="331" spans="6:6" ht="15.75" customHeight="1" x14ac:dyDescent="0.2">
      <c r="F331" s="67"/>
    </row>
    <row r="332" spans="6:6" ht="15.75" customHeight="1" x14ac:dyDescent="0.2">
      <c r="F332" s="67"/>
    </row>
    <row r="333" spans="6:6" ht="15.75" customHeight="1" x14ac:dyDescent="0.2">
      <c r="F333" s="67"/>
    </row>
    <row r="334" spans="6:6" ht="15.75" customHeight="1" x14ac:dyDescent="0.2">
      <c r="F334" s="67"/>
    </row>
    <row r="335" spans="6:6" ht="15.75" customHeight="1" x14ac:dyDescent="0.2">
      <c r="F335" s="67"/>
    </row>
    <row r="336" spans="6:6" ht="15.75" customHeight="1" x14ac:dyDescent="0.2">
      <c r="F336" s="67"/>
    </row>
    <row r="337" spans="6:6" ht="15.75" customHeight="1" x14ac:dyDescent="0.2">
      <c r="F337" s="67"/>
    </row>
    <row r="338" spans="6:6" ht="15.75" customHeight="1" x14ac:dyDescent="0.2">
      <c r="F338" s="67"/>
    </row>
    <row r="339" spans="6:6" ht="15.75" customHeight="1" x14ac:dyDescent="0.2">
      <c r="F339" s="67"/>
    </row>
    <row r="340" spans="6:6" ht="15.75" customHeight="1" x14ac:dyDescent="0.2">
      <c r="F340" s="67"/>
    </row>
    <row r="341" spans="6:6" ht="15.75" customHeight="1" x14ac:dyDescent="0.2">
      <c r="F341" s="67"/>
    </row>
    <row r="342" spans="6:6" ht="15.75" customHeight="1" x14ac:dyDescent="0.2">
      <c r="F342" s="67"/>
    </row>
    <row r="343" spans="6:6" ht="15.75" customHeight="1" x14ac:dyDescent="0.2">
      <c r="F343" s="67"/>
    </row>
    <row r="344" spans="6:6" ht="15.75" customHeight="1" x14ac:dyDescent="0.2">
      <c r="F344" s="67"/>
    </row>
    <row r="345" spans="6:6" ht="15.75" customHeight="1" x14ac:dyDescent="0.2">
      <c r="F345" s="67"/>
    </row>
    <row r="346" spans="6:6" ht="15.75" customHeight="1" x14ac:dyDescent="0.2">
      <c r="F346" s="67"/>
    </row>
    <row r="347" spans="6:6" ht="15.75" customHeight="1" x14ac:dyDescent="0.2">
      <c r="F347" s="67"/>
    </row>
    <row r="348" spans="6:6" ht="15.75" customHeight="1" x14ac:dyDescent="0.2">
      <c r="F348" s="67"/>
    </row>
    <row r="349" spans="6:6" ht="15.75" customHeight="1" x14ac:dyDescent="0.2">
      <c r="F349" s="67"/>
    </row>
    <row r="350" spans="6:6" ht="15.75" customHeight="1" x14ac:dyDescent="0.2">
      <c r="F350" s="67"/>
    </row>
    <row r="351" spans="6:6" ht="15.75" customHeight="1" x14ac:dyDescent="0.2">
      <c r="F351" s="67"/>
    </row>
    <row r="352" spans="6:6" ht="15.75" customHeight="1" x14ac:dyDescent="0.2">
      <c r="F352" s="67"/>
    </row>
    <row r="353" spans="6:6" ht="15.75" customHeight="1" x14ac:dyDescent="0.2">
      <c r="F353" s="67"/>
    </row>
    <row r="354" spans="6:6" ht="15.75" customHeight="1" x14ac:dyDescent="0.2">
      <c r="F354" s="67"/>
    </row>
    <row r="355" spans="6:6" ht="15.75" customHeight="1" x14ac:dyDescent="0.2">
      <c r="F355" s="67"/>
    </row>
    <row r="356" spans="6:6" ht="15.75" customHeight="1" x14ac:dyDescent="0.2">
      <c r="F356" s="67"/>
    </row>
    <row r="357" spans="6:6" ht="15.75" customHeight="1" x14ac:dyDescent="0.2">
      <c r="F357" s="67"/>
    </row>
    <row r="358" spans="6:6" ht="15.75" customHeight="1" x14ac:dyDescent="0.2">
      <c r="F358" s="67"/>
    </row>
    <row r="359" spans="6:6" ht="15.75" customHeight="1" x14ac:dyDescent="0.2">
      <c r="F359" s="67"/>
    </row>
    <row r="360" spans="6:6" ht="15.75" customHeight="1" x14ac:dyDescent="0.2">
      <c r="F360" s="67"/>
    </row>
    <row r="361" spans="6:6" ht="15.75" customHeight="1" x14ac:dyDescent="0.2">
      <c r="F361" s="67"/>
    </row>
    <row r="362" spans="6:6" ht="15.75" customHeight="1" x14ac:dyDescent="0.2">
      <c r="F362" s="67"/>
    </row>
    <row r="363" spans="6:6" ht="15.75" customHeight="1" x14ac:dyDescent="0.2">
      <c r="F363" s="67"/>
    </row>
    <row r="364" spans="6:6" ht="15.75" customHeight="1" x14ac:dyDescent="0.2">
      <c r="F364" s="67"/>
    </row>
    <row r="365" spans="6:6" ht="15.75" customHeight="1" x14ac:dyDescent="0.2">
      <c r="F365" s="67"/>
    </row>
    <row r="366" spans="6:6" ht="15.75" customHeight="1" x14ac:dyDescent="0.2">
      <c r="F366" s="67"/>
    </row>
    <row r="367" spans="6:6" ht="15.75" customHeight="1" x14ac:dyDescent="0.2">
      <c r="F367" s="67"/>
    </row>
    <row r="368" spans="6:6" ht="15.75" customHeight="1" x14ac:dyDescent="0.2">
      <c r="F368" s="67"/>
    </row>
    <row r="369" spans="6:6" ht="15.75" customHeight="1" x14ac:dyDescent="0.2">
      <c r="F369" s="67"/>
    </row>
    <row r="370" spans="6:6" ht="15.75" customHeight="1" x14ac:dyDescent="0.2">
      <c r="F370" s="67"/>
    </row>
    <row r="371" spans="6:6" ht="15.75" customHeight="1" x14ac:dyDescent="0.2">
      <c r="F371" s="67"/>
    </row>
    <row r="372" spans="6:6" ht="15.75" customHeight="1" x14ac:dyDescent="0.2">
      <c r="F372" s="67"/>
    </row>
    <row r="373" spans="6:6" ht="15.75" customHeight="1" x14ac:dyDescent="0.2">
      <c r="F373" s="67"/>
    </row>
    <row r="374" spans="6:6" ht="15.75" customHeight="1" x14ac:dyDescent="0.2">
      <c r="F374" s="67"/>
    </row>
    <row r="375" spans="6:6" ht="15.75" customHeight="1" x14ac:dyDescent="0.2">
      <c r="F375" s="67"/>
    </row>
    <row r="376" spans="6:6" ht="15.75" customHeight="1" x14ac:dyDescent="0.2">
      <c r="F376" s="67"/>
    </row>
    <row r="377" spans="6:6" ht="15.75" customHeight="1" x14ac:dyDescent="0.2">
      <c r="F377" s="67"/>
    </row>
    <row r="378" spans="6:6" ht="15.75" customHeight="1" x14ac:dyDescent="0.2">
      <c r="F378" s="67"/>
    </row>
    <row r="379" spans="6:6" ht="15.75" customHeight="1" x14ac:dyDescent="0.2">
      <c r="F379" s="67"/>
    </row>
    <row r="380" spans="6:6" ht="15.75" customHeight="1" x14ac:dyDescent="0.2">
      <c r="F380" s="67"/>
    </row>
    <row r="381" spans="6:6" ht="15.75" customHeight="1" x14ac:dyDescent="0.2">
      <c r="F381" s="67"/>
    </row>
    <row r="382" spans="6:6" ht="15.75" customHeight="1" x14ac:dyDescent="0.2">
      <c r="F382" s="67"/>
    </row>
    <row r="383" spans="6:6" ht="15.75" customHeight="1" x14ac:dyDescent="0.2">
      <c r="F383" s="67"/>
    </row>
    <row r="384" spans="6:6" ht="15.75" customHeight="1" x14ac:dyDescent="0.2">
      <c r="F384" s="67"/>
    </row>
    <row r="385" spans="6:6" ht="15.75" customHeight="1" x14ac:dyDescent="0.2">
      <c r="F385" s="67"/>
    </row>
    <row r="386" spans="6:6" ht="15.75" customHeight="1" x14ac:dyDescent="0.2">
      <c r="F386" s="67"/>
    </row>
    <row r="387" spans="6:6" ht="15.75" customHeight="1" x14ac:dyDescent="0.2">
      <c r="F387" s="67"/>
    </row>
    <row r="388" spans="6:6" ht="15.75" customHeight="1" x14ac:dyDescent="0.2">
      <c r="F388" s="67"/>
    </row>
    <row r="389" spans="6:6" ht="15.75" customHeight="1" x14ac:dyDescent="0.2">
      <c r="F389" s="67"/>
    </row>
    <row r="390" spans="6:6" ht="15.75" customHeight="1" x14ac:dyDescent="0.2">
      <c r="F390" s="67"/>
    </row>
    <row r="391" spans="6:6" ht="15.75" customHeight="1" x14ac:dyDescent="0.2">
      <c r="F391" s="67"/>
    </row>
    <row r="392" spans="6:6" ht="15.75" customHeight="1" x14ac:dyDescent="0.2">
      <c r="F392" s="67"/>
    </row>
    <row r="393" spans="6:6" ht="15.75" customHeight="1" x14ac:dyDescent="0.2">
      <c r="F393" s="67"/>
    </row>
    <row r="394" spans="6:6" ht="15.75" customHeight="1" x14ac:dyDescent="0.2">
      <c r="F394" s="67"/>
    </row>
    <row r="395" spans="6:6" ht="15.75" customHeight="1" x14ac:dyDescent="0.2">
      <c r="F395" s="67"/>
    </row>
    <row r="396" spans="6:6" ht="15.75" customHeight="1" x14ac:dyDescent="0.2">
      <c r="F396" s="67"/>
    </row>
    <row r="397" spans="6:6" ht="15.75" customHeight="1" x14ac:dyDescent="0.2">
      <c r="F397" s="67"/>
    </row>
    <row r="398" spans="6:6" ht="15.75" customHeight="1" x14ac:dyDescent="0.2">
      <c r="F398" s="67"/>
    </row>
    <row r="399" spans="6:6" ht="15.75" customHeight="1" x14ac:dyDescent="0.2">
      <c r="F399" s="67"/>
    </row>
    <row r="400" spans="6:6" ht="15.75" customHeight="1" x14ac:dyDescent="0.2">
      <c r="F400" s="67"/>
    </row>
    <row r="401" spans="6:6" ht="15.75" customHeight="1" x14ac:dyDescent="0.2">
      <c r="F401" s="67"/>
    </row>
    <row r="402" spans="6:6" ht="15.75" customHeight="1" x14ac:dyDescent="0.2">
      <c r="F402" s="67"/>
    </row>
    <row r="403" spans="6:6" ht="15.75" customHeight="1" x14ac:dyDescent="0.2">
      <c r="F403" s="67"/>
    </row>
    <row r="404" spans="6:6" ht="15.75" customHeight="1" x14ac:dyDescent="0.2">
      <c r="F404" s="67"/>
    </row>
    <row r="405" spans="6:6" ht="15.75" customHeight="1" x14ac:dyDescent="0.2">
      <c r="F405" s="67"/>
    </row>
    <row r="406" spans="6:6" ht="15.75" customHeight="1" x14ac:dyDescent="0.2">
      <c r="F406" s="67"/>
    </row>
    <row r="407" spans="6:6" ht="15.75" customHeight="1" x14ac:dyDescent="0.2">
      <c r="F407" s="67"/>
    </row>
    <row r="408" spans="6:6" ht="15.75" customHeight="1" x14ac:dyDescent="0.2">
      <c r="F408" s="67"/>
    </row>
    <row r="409" spans="6:6" ht="15.75" customHeight="1" x14ac:dyDescent="0.2">
      <c r="F409" s="67"/>
    </row>
    <row r="410" spans="6:6" ht="15.75" customHeight="1" x14ac:dyDescent="0.2">
      <c r="F410" s="67"/>
    </row>
    <row r="411" spans="6:6" ht="15.75" customHeight="1" x14ac:dyDescent="0.2">
      <c r="F411" s="67"/>
    </row>
    <row r="412" spans="6:6" ht="15.75" customHeight="1" x14ac:dyDescent="0.2">
      <c r="F412" s="67"/>
    </row>
    <row r="413" spans="6:6" ht="15.75" customHeight="1" x14ac:dyDescent="0.2">
      <c r="F413" s="67"/>
    </row>
    <row r="414" spans="6:6" ht="15.75" customHeight="1" x14ac:dyDescent="0.2">
      <c r="F414" s="67"/>
    </row>
    <row r="415" spans="6:6" ht="15.75" customHeight="1" x14ac:dyDescent="0.2">
      <c r="F415" s="67"/>
    </row>
    <row r="416" spans="6:6" ht="15.75" customHeight="1" x14ac:dyDescent="0.2">
      <c r="F416" s="67"/>
    </row>
    <row r="417" spans="6:6" ht="15.75" customHeight="1" x14ac:dyDescent="0.2">
      <c r="F417" s="67"/>
    </row>
    <row r="418" spans="6:6" ht="15.75" customHeight="1" x14ac:dyDescent="0.2">
      <c r="F418" s="67"/>
    </row>
    <row r="419" spans="6:6" ht="15.75" customHeight="1" x14ac:dyDescent="0.2">
      <c r="F419" s="67"/>
    </row>
    <row r="420" spans="6:6" ht="15.75" customHeight="1" x14ac:dyDescent="0.2">
      <c r="F420" s="67"/>
    </row>
    <row r="421" spans="6:6" ht="15.75" customHeight="1" x14ac:dyDescent="0.2">
      <c r="F421" s="67"/>
    </row>
    <row r="422" spans="6:6" ht="15.75" customHeight="1" x14ac:dyDescent="0.2">
      <c r="F422" s="67"/>
    </row>
    <row r="423" spans="6:6" ht="15.75" customHeight="1" x14ac:dyDescent="0.2">
      <c r="F423" s="67"/>
    </row>
    <row r="424" spans="6:6" ht="15.75" customHeight="1" x14ac:dyDescent="0.2">
      <c r="F424" s="67"/>
    </row>
    <row r="425" spans="6:6" ht="15.75" customHeight="1" x14ac:dyDescent="0.2">
      <c r="F425" s="67"/>
    </row>
    <row r="426" spans="6:6" ht="15.75" customHeight="1" x14ac:dyDescent="0.2">
      <c r="F426" s="67"/>
    </row>
    <row r="427" spans="6:6" ht="15.75" customHeight="1" x14ac:dyDescent="0.2">
      <c r="F427" s="67"/>
    </row>
    <row r="428" spans="6:6" ht="15.75" customHeight="1" x14ac:dyDescent="0.2">
      <c r="F428" s="67"/>
    </row>
    <row r="429" spans="6:6" ht="15.75" customHeight="1" x14ac:dyDescent="0.2">
      <c r="F429" s="67"/>
    </row>
    <row r="430" spans="6:6" ht="15.75" customHeight="1" x14ac:dyDescent="0.2">
      <c r="F430" s="67"/>
    </row>
    <row r="431" spans="6:6" ht="15.75" customHeight="1" x14ac:dyDescent="0.2">
      <c r="F431" s="67"/>
    </row>
    <row r="432" spans="6:6" ht="15.75" customHeight="1" x14ac:dyDescent="0.2">
      <c r="F432" s="67"/>
    </row>
    <row r="433" spans="6:6" ht="15.75" customHeight="1" x14ac:dyDescent="0.2">
      <c r="F433" s="67"/>
    </row>
    <row r="434" spans="6:6" ht="15.75" customHeight="1" x14ac:dyDescent="0.2">
      <c r="F434" s="67"/>
    </row>
    <row r="435" spans="6:6" ht="15.75" customHeight="1" x14ac:dyDescent="0.2">
      <c r="F435" s="67"/>
    </row>
    <row r="436" spans="6:6" ht="15.75" customHeight="1" x14ac:dyDescent="0.2">
      <c r="F436" s="67"/>
    </row>
    <row r="437" spans="6:6" ht="15.75" customHeight="1" x14ac:dyDescent="0.2">
      <c r="F437" s="67"/>
    </row>
    <row r="438" spans="6:6" ht="15.75" customHeight="1" x14ac:dyDescent="0.2">
      <c r="F438" s="67"/>
    </row>
    <row r="439" spans="6:6" ht="15.75" customHeight="1" x14ac:dyDescent="0.2">
      <c r="F439" s="67"/>
    </row>
    <row r="440" spans="6:6" ht="15.75" customHeight="1" x14ac:dyDescent="0.2">
      <c r="F440" s="67"/>
    </row>
    <row r="441" spans="6:6" ht="15.75" customHeight="1" x14ac:dyDescent="0.2">
      <c r="F441" s="67"/>
    </row>
    <row r="442" spans="6:6" ht="15.75" customHeight="1" x14ac:dyDescent="0.2">
      <c r="F442" s="67"/>
    </row>
    <row r="443" spans="6:6" ht="15.75" customHeight="1" x14ac:dyDescent="0.2">
      <c r="F443" s="67"/>
    </row>
    <row r="444" spans="6:6" ht="15.75" customHeight="1" x14ac:dyDescent="0.2">
      <c r="F444" s="67"/>
    </row>
    <row r="445" spans="6:6" ht="15.75" customHeight="1" x14ac:dyDescent="0.2">
      <c r="F445" s="67"/>
    </row>
    <row r="446" spans="6:6" ht="15.75" customHeight="1" x14ac:dyDescent="0.2">
      <c r="F446" s="67"/>
    </row>
    <row r="447" spans="6:6" ht="15.75" customHeight="1" x14ac:dyDescent="0.2">
      <c r="F447" s="67"/>
    </row>
    <row r="448" spans="6:6" ht="15.75" customHeight="1" x14ac:dyDescent="0.2">
      <c r="F448" s="67"/>
    </row>
    <row r="449" spans="6:6" ht="15.75" customHeight="1" x14ac:dyDescent="0.2">
      <c r="F449" s="67"/>
    </row>
    <row r="450" spans="6:6" ht="15.75" customHeight="1" x14ac:dyDescent="0.2">
      <c r="F450" s="67"/>
    </row>
    <row r="451" spans="6:6" ht="15.75" customHeight="1" x14ac:dyDescent="0.2">
      <c r="F451" s="67"/>
    </row>
    <row r="452" spans="6:6" ht="15.75" customHeight="1" x14ac:dyDescent="0.2">
      <c r="F452" s="67"/>
    </row>
    <row r="453" spans="6:6" ht="15.75" customHeight="1" x14ac:dyDescent="0.2">
      <c r="F453" s="67"/>
    </row>
    <row r="454" spans="6:6" ht="15.75" customHeight="1" x14ac:dyDescent="0.2">
      <c r="F454" s="67"/>
    </row>
    <row r="455" spans="6:6" ht="15.75" customHeight="1" x14ac:dyDescent="0.2">
      <c r="F455" s="67"/>
    </row>
    <row r="456" spans="6:6" ht="15.75" customHeight="1" x14ac:dyDescent="0.2">
      <c r="F456" s="67"/>
    </row>
    <row r="457" spans="6:6" ht="15.75" customHeight="1" x14ac:dyDescent="0.2">
      <c r="F457" s="67"/>
    </row>
    <row r="458" spans="6:6" ht="15.75" customHeight="1" x14ac:dyDescent="0.2">
      <c r="F458" s="67"/>
    </row>
    <row r="459" spans="6:6" ht="15.75" customHeight="1" x14ac:dyDescent="0.2">
      <c r="F459" s="67"/>
    </row>
    <row r="460" spans="6:6" ht="15.75" customHeight="1" x14ac:dyDescent="0.2">
      <c r="F460" s="67"/>
    </row>
    <row r="461" spans="6:6" ht="15.75" customHeight="1" x14ac:dyDescent="0.2">
      <c r="F461" s="67"/>
    </row>
    <row r="462" spans="6:6" ht="15.75" customHeight="1" x14ac:dyDescent="0.2">
      <c r="F462" s="67"/>
    </row>
    <row r="463" spans="6:6" ht="15.75" customHeight="1" x14ac:dyDescent="0.2">
      <c r="F463" s="67"/>
    </row>
    <row r="464" spans="6:6" ht="15.75" customHeight="1" x14ac:dyDescent="0.2">
      <c r="F464" s="67"/>
    </row>
    <row r="465" spans="6:6" ht="15.75" customHeight="1" x14ac:dyDescent="0.2">
      <c r="F465" s="67"/>
    </row>
    <row r="466" spans="6:6" ht="15.75" customHeight="1" x14ac:dyDescent="0.2">
      <c r="F466" s="67"/>
    </row>
    <row r="467" spans="6:6" ht="15.75" customHeight="1" x14ac:dyDescent="0.2">
      <c r="F467" s="67"/>
    </row>
    <row r="468" spans="6:6" ht="15.75" customHeight="1" x14ac:dyDescent="0.2">
      <c r="F468" s="67"/>
    </row>
    <row r="469" spans="6:6" ht="15.75" customHeight="1" x14ac:dyDescent="0.2">
      <c r="F469" s="67"/>
    </row>
    <row r="470" spans="6:6" ht="15.75" customHeight="1" x14ac:dyDescent="0.2">
      <c r="F470" s="67"/>
    </row>
    <row r="471" spans="6:6" ht="15.75" customHeight="1" x14ac:dyDescent="0.2">
      <c r="F471" s="67"/>
    </row>
    <row r="472" spans="6:6" ht="15.75" customHeight="1" x14ac:dyDescent="0.2">
      <c r="F472" s="67"/>
    </row>
    <row r="473" spans="6:6" ht="15.75" customHeight="1" x14ac:dyDescent="0.2">
      <c r="F473" s="67"/>
    </row>
    <row r="474" spans="6:6" ht="15.75" customHeight="1" x14ac:dyDescent="0.2">
      <c r="F474" s="67"/>
    </row>
    <row r="475" spans="6:6" ht="15.75" customHeight="1" x14ac:dyDescent="0.2">
      <c r="F475" s="67"/>
    </row>
    <row r="476" spans="6:6" ht="15.75" customHeight="1" x14ac:dyDescent="0.2">
      <c r="F476" s="67"/>
    </row>
    <row r="477" spans="6:6" ht="15.75" customHeight="1" x14ac:dyDescent="0.2">
      <c r="F477" s="67"/>
    </row>
    <row r="478" spans="6:6" ht="15.75" customHeight="1" x14ac:dyDescent="0.2">
      <c r="F478" s="67"/>
    </row>
    <row r="479" spans="6:6" ht="15.75" customHeight="1" x14ac:dyDescent="0.2">
      <c r="F479" s="67"/>
    </row>
    <row r="480" spans="6:6" ht="15.75" customHeight="1" x14ac:dyDescent="0.2">
      <c r="F480" s="67"/>
    </row>
    <row r="481" spans="6:6" ht="15.75" customHeight="1" x14ac:dyDescent="0.2">
      <c r="F481" s="67"/>
    </row>
    <row r="482" spans="6:6" ht="15.75" customHeight="1" x14ac:dyDescent="0.2">
      <c r="F482" s="67"/>
    </row>
    <row r="483" spans="6:6" ht="15.75" customHeight="1" x14ac:dyDescent="0.2">
      <c r="F483" s="67"/>
    </row>
    <row r="484" spans="6:6" ht="15.75" customHeight="1" x14ac:dyDescent="0.2">
      <c r="F484" s="67"/>
    </row>
    <row r="485" spans="6:6" ht="15.75" customHeight="1" x14ac:dyDescent="0.2">
      <c r="F485" s="67"/>
    </row>
    <row r="486" spans="6:6" ht="15.75" customHeight="1" x14ac:dyDescent="0.2">
      <c r="F486" s="67"/>
    </row>
    <row r="487" spans="6:6" ht="15.75" customHeight="1" x14ac:dyDescent="0.2">
      <c r="F487" s="67"/>
    </row>
    <row r="488" spans="6:6" ht="15.75" customHeight="1" x14ac:dyDescent="0.2">
      <c r="F488" s="67"/>
    </row>
    <row r="489" spans="6:6" ht="15.75" customHeight="1" x14ac:dyDescent="0.2">
      <c r="F489" s="67"/>
    </row>
    <row r="490" spans="6:6" ht="15.75" customHeight="1" x14ac:dyDescent="0.2">
      <c r="F490" s="67"/>
    </row>
    <row r="491" spans="6:6" ht="15.75" customHeight="1" x14ac:dyDescent="0.2">
      <c r="F491" s="67"/>
    </row>
    <row r="492" spans="6:6" ht="15.75" customHeight="1" x14ac:dyDescent="0.2">
      <c r="F492" s="67"/>
    </row>
    <row r="493" spans="6:6" ht="15.75" customHeight="1" x14ac:dyDescent="0.2">
      <c r="F493" s="67"/>
    </row>
    <row r="494" spans="6:6" ht="15.75" customHeight="1" x14ac:dyDescent="0.2">
      <c r="F494" s="67"/>
    </row>
    <row r="495" spans="6:6" ht="15.75" customHeight="1" x14ac:dyDescent="0.2">
      <c r="F495" s="67"/>
    </row>
    <row r="496" spans="6:6" ht="15.75" customHeight="1" x14ac:dyDescent="0.2">
      <c r="F496" s="67"/>
    </row>
    <row r="497" spans="6:6" ht="15.75" customHeight="1" x14ac:dyDescent="0.2">
      <c r="F497" s="67"/>
    </row>
    <row r="498" spans="6:6" ht="15.75" customHeight="1" x14ac:dyDescent="0.2">
      <c r="F498" s="67"/>
    </row>
    <row r="499" spans="6:6" ht="15.75" customHeight="1" x14ac:dyDescent="0.2">
      <c r="F499" s="67"/>
    </row>
    <row r="500" spans="6:6" ht="15.75" customHeight="1" x14ac:dyDescent="0.2">
      <c r="F500" s="67"/>
    </row>
    <row r="501" spans="6:6" ht="15.75" customHeight="1" x14ac:dyDescent="0.2">
      <c r="F501" s="67"/>
    </row>
    <row r="502" spans="6:6" ht="15.75" customHeight="1" x14ac:dyDescent="0.2">
      <c r="F502" s="67"/>
    </row>
    <row r="503" spans="6:6" ht="15.75" customHeight="1" x14ac:dyDescent="0.2">
      <c r="F503" s="67"/>
    </row>
    <row r="504" spans="6:6" ht="15.75" customHeight="1" x14ac:dyDescent="0.2">
      <c r="F504" s="67"/>
    </row>
    <row r="505" spans="6:6" ht="15.75" customHeight="1" x14ac:dyDescent="0.2">
      <c r="F505" s="67"/>
    </row>
    <row r="506" spans="6:6" ht="15.75" customHeight="1" x14ac:dyDescent="0.2">
      <c r="F506" s="67"/>
    </row>
    <row r="507" spans="6:6" ht="15.75" customHeight="1" x14ac:dyDescent="0.2">
      <c r="F507" s="67"/>
    </row>
    <row r="508" spans="6:6" ht="15.75" customHeight="1" x14ac:dyDescent="0.2">
      <c r="F508" s="67"/>
    </row>
    <row r="509" spans="6:6" ht="15.75" customHeight="1" x14ac:dyDescent="0.2">
      <c r="F509" s="67"/>
    </row>
    <row r="510" spans="6:6" ht="15.75" customHeight="1" x14ac:dyDescent="0.2">
      <c r="F510" s="67"/>
    </row>
    <row r="511" spans="6:6" ht="15.75" customHeight="1" x14ac:dyDescent="0.2">
      <c r="F511" s="67"/>
    </row>
    <row r="512" spans="6:6" ht="15.75" customHeight="1" x14ac:dyDescent="0.2">
      <c r="F512" s="67"/>
    </row>
    <row r="513" spans="6:6" ht="15.75" customHeight="1" x14ac:dyDescent="0.2">
      <c r="F513" s="67"/>
    </row>
    <row r="514" spans="6:6" ht="15.75" customHeight="1" x14ac:dyDescent="0.2">
      <c r="F514" s="67"/>
    </row>
    <row r="515" spans="6:6" ht="15.75" customHeight="1" x14ac:dyDescent="0.2">
      <c r="F515" s="67"/>
    </row>
    <row r="516" spans="6:6" ht="15.75" customHeight="1" x14ac:dyDescent="0.2">
      <c r="F516" s="67"/>
    </row>
    <row r="517" spans="6:6" ht="15.75" customHeight="1" x14ac:dyDescent="0.2">
      <c r="F517" s="67"/>
    </row>
    <row r="518" spans="6:6" ht="15.75" customHeight="1" x14ac:dyDescent="0.2">
      <c r="F518" s="67"/>
    </row>
    <row r="519" spans="6:6" ht="15.75" customHeight="1" x14ac:dyDescent="0.2">
      <c r="F519" s="67"/>
    </row>
    <row r="520" spans="6:6" ht="15.75" customHeight="1" x14ac:dyDescent="0.2">
      <c r="F520" s="67"/>
    </row>
    <row r="521" spans="6:6" ht="15.75" customHeight="1" x14ac:dyDescent="0.2">
      <c r="F521" s="67"/>
    </row>
    <row r="522" spans="6:6" ht="15.75" customHeight="1" x14ac:dyDescent="0.2">
      <c r="F522" s="67"/>
    </row>
    <row r="523" spans="6:6" ht="15.75" customHeight="1" x14ac:dyDescent="0.2">
      <c r="F523" s="67"/>
    </row>
    <row r="524" spans="6:6" ht="15.75" customHeight="1" x14ac:dyDescent="0.2">
      <c r="F524" s="67"/>
    </row>
    <row r="525" spans="6:6" ht="15.75" customHeight="1" x14ac:dyDescent="0.2">
      <c r="F525" s="67"/>
    </row>
    <row r="526" spans="6:6" ht="15.75" customHeight="1" x14ac:dyDescent="0.2">
      <c r="F526" s="67"/>
    </row>
    <row r="527" spans="6:6" ht="15.75" customHeight="1" x14ac:dyDescent="0.2">
      <c r="F527" s="67"/>
    </row>
    <row r="528" spans="6:6" ht="15.75" customHeight="1" x14ac:dyDescent="0.2">
      <c r="F528" s="67"/>
    </row>
    <row r="529" spans="6:6" ht="15.75" customHeight="1" x14ac:dyDescent="0.2">
      <c r="F529" s="67"/>
    </row>
    <row r="530" spans="6:6" ht="15.75" customHeight="1" x14ac:dyDescent="0.2">
      <c r="F530" s="67"/>
    </row>
    <row r="531" spans="6:6" ht="15.75" customHeight="1" x14ac:dyDescent="0.2">
      <c r="F531" s="67"/>
    </row>
    <row r="532" spans="6:6" ht="15.75" customHeight="1" x14ac:dyDescent="0.2">
      <c r="F532" s="67"/>
    </row>
    <row r="533" spans="6:6" ht="15.75" customHeight="1" x14ac:dyDescent="0.2">
      <c r="F533" s="67"/>
    </row>
    <row r="534" spans="6:6" ht="15.75" customHeight="1" x14ac:dyDescent="0.2">
      <c r="F534" s="67"/>
    </row>
    <row r="535" spans="6:6" ht="15.75" customHeight="1" x14ac:dyDescent="0.2">
      <c r="F535" s="67"/>
    </row>
    <row r="536" spans="6:6" ht="15.75" customHeight="1" x14ac:dyDescent="0.2">
      <c r="F536" s="67"/>
    </row>
    <row r="537" spans="6:6" ht="15.75" customHeight="1" x14ac:dyDescent="0.2">
      <c r="F537" s="67"/>
    </row>
    <row r="538" spans="6:6" ht="15.75" customHeight="1" x14ac:dyDescent="0.2">
      <c r="F538" s="67"/>
    </row>
    <row r="539" spans="6:6" ht="15.75" customHeight="1" x14ac:dyDescent="0.2">
      <c r="F539" s="67"/>
    </row>
    <row r="540" spans="6:6" ht="15.75" customHeight="1" x14ac:dyDescent="0.2">
      <c r="F540" s="67"/>
    </row>
    <row r="541" spans="6:6" ht="15.75" customHeight="1" x14ac:dyDescent="0.2">
      <c r="F541" s="67"/>
    </row>
    <row r="542" spans="6:6" ht="15.75" customHeight="1" x14ac:dyDescent="0.2">
      <c r="F542" s="67"/>
    </row>
    <row r="543" spans="6:6" ht="15.75" customHeight="1" x14ac:dyDescent="0.2">
      <c r="F543" s="67"/>
    </row>
    <row r="544" spans="6:6" ht="15.75" customHeight="1" x14ac:dyDescent="0.2">
      <c r="F544" s="67"/>
    </row>
    <row r="545" spans="6:6" ht="15.75" customHeight="1" x14ac:dyDescent="0.2">
      <c r="F545" s="67"/>
    </row>
    <row r="546" spans="6:6" ht="15.75" customHeight="1" x14ac:dyDescent="0.2">
      <c r="F546" s="67"/>
    </row>
    <row r="547" spans="6:6" ht="15.75" customHeight="1" x14ac:dyDescent="0.2">
      <c r="F547" s="67"/>
    </row>
    <row r="548" spans="6:6" ht="15.75" customHeight="1" x14ac:dyDescent="0.2">
      <c r="F548" s="67"/>
    </row>
    <row r="549" spans="6:6" ht="15.75" customHeight="1" x14ac:dyDescent="0.2">
      <c r="F549" s="67"/>
    </row>
    <row r="550" spans="6:6" ht="15.75" customHeight="1" x14ac:dyDescent="0.2">
      <c r="F550" s="67"/>
    </row>
    <row r="551" spans="6:6" ht="15.75" customHeight="1" x14ac:dyDescent="0.2">
      <c r="F551" s="67"/>
    </row>
    <row r="552" spans="6:6" ht="15.75" customHeight="1" x14ac:dyDescent="0.2">
      <c r="F552" s="67"/>
    </row>
    <row r="553" spans="6:6" ht="15.75" customHeight="1" x14ac:dyDescent="0.2">
      <c r="F553" s="67"/>
    </row>
    <row r="554" spans="6:6" ht="15.75" customHeight="1" x14ac:dyDescent="0.2">
      <c r="F554" s="67"/>
    </row>
    <row r="555" spans="6:6" ht="15.75" customHeight="1" x14ac:dyDescent="0.2">
      <c r="F555" s="67"/>
    </row>
    <row r="556" spans="6:6" ht="15.75" customHeight="1" x14ac:dyDescent="0.2">
      <c r="F556" s="67"/>
    </row>
    <row r="557" spans="6:6" ht="15.75" customHeight="1" x14ac:dyDescent="0.2">
      <c r="F557" s="67"/>
    </row>
    <row r="558" spans="6:6" ht="15.75" customHeight="1" x14ac:dyDescent="0.2">
      <c r="F558" s="67"/>
    </row>
    <row r="559" spans="6:6" ht="15.75" customHeight="1" x14ac:dyDescent="0.2">
      <c r="F559" s="67"/>
    </row>
    <row r="560" spans="6:6" ht="15.75" customHeight="1" x14ac:dyDescent="0.2">
      <c r="F560" s="67"/>
    </row>
    <row r="561" spans="6:6" ht="15.75" customHeight="1" x14ac:dyDescent="0.2">
      <c r="F561" s="67"/>
    </row>
    <row r="562" spans="6:6" ht="15.75" customHeight="1" x14ac:dyDescent="0.2">
      <c r="F562" s="67"/>
    </row>
    <row r="563" spans="6:6" ht="15.75" customHeight="1" x14ac:dyDescent="0.2">
      <c r="F563" s="67"/>
    </row>
    <row r="564" spans="6:6" ht="15.75" customHeight="1" x14ac:dyDescent="0.2">
      <c r="F564" s="67"/>
    </row>
    <row r="565" spans="6:6" ht="15.75" customHeight="1" x14ac:dyDescent="0.2">
      <c r="F565" s="67"/>
    </row>
    <row r="566" spans="6:6" ht="15.75" customHeight="1" x14ac:dyDescent="0.2">
      <c r="F566" s="67"/>
    </row>
    <row r="567" spans="6:6" ht="15.75" customHeight="1" x14ac:dyDescent="0.2">
      <c r="F567" s="67"/>
    </row>
    <row r="568" spans="6:6" ht="15.75" customHeight="1" x14ac:dyDescent="0.2">
      <c r="F568" s="67"/>
    </row>
    <row r="569" spans="6:6" ht="15.75" customHeight="1" x14ac:dyDescent="0.2">
      <c r="F569" s="67"/>
    </row>
    <row r="570" spans="6:6" ht="15.75" customHeight="1" x14ac:dyDescent="0.2">
      <c r="F570" s="67"/>
    </row>
    <row r="571" spans="6:6" ht="15.75" customHeight="1" x14ac:dyDescent="0.2">
      <c r="F571" s="67"/>
    </row>
    <row r="572" spans="6:6" ht="15.75" customHeight="1" x14ac:dyDescent="0.2">
      <c r="F572" s="67"/>
    </row>
    <row r="573" spans="6:6" ht="15.75" customHeight="1" x14ac:dyDescent="0.2">
      <c r="F573" s="67"/>
    </row>
    <row r="574" spans="6:6" ht="15.75" customHeight="1" x14ac:dyDescent="0.2">
      <c r="F574" s="67"/>
    </row>
    <row r="575" spans="6:6" ht="15.75" customHeight="1" x14ac:dyDescent="0.2">
      <c r="F575" s="67"/>
    </row>
    <row r="576" spans="6:6" ht="15.75" customHeight="1" x14ac:dyDescent="0.2">
      <c r="F576" s="67"/>
    </row>
    <row r="577" spans="6:6" ht="15.75" customHeight="1" x14ac:dyDescent="0.2">
      <c r="F577" s="67"/>
    </row>
    <row r="578" spans="6:6" ht="15.75" customHeight="1" x14ac:dyDescent="0.2">
      <c r="F578" s="67"/>
    </row>
    <row r="579" spans="6:6" ht="15.75" customHeight="1" x14ac:dyDescent="0.2">
      <c r="F579" s="67"/>
    </row>
    <row r="580" spans="6:6" ht="15.75" customHeight="1" x14ac:dyDescent="0.2">
      <c r="F580" s="67"/>
    </row>
    <row r="581" spans="6:6" ht="15.75" customHeight="1" x14ac:dyDescent="0.2">
      <c r="F581" s="67"/>
    </row>
    <row r="582" spans="6:6" ht="15.75" customHeight="1" x14ac:dyDescent="0.2">
      <c r="F582" s="67"/>
    </row>
    <row r="583" spans="6:6" ht="15.75" customHeight="1" x14ac:dyDescent="0.2">
      <c r="F583" s="67"/>
    </row>
    <row r="584" spans="6:6" ht="15.75" customHeight="1" x14ac:dyDescent="0.2">
      <c r="F584" s="67"/>
    </row>
    <row r="585" spans="6:6" ht="15.75" customHeight="1" x14ac:dyDescent="0.2">
      <c r="F585" s="67"/>
    </row>
    <row r="586" spans="6:6" ht="15.75" customHeight="1" x14ac:dyDescent="0.2">
      <c r="F586" s="67"/>
    </row>
    <row r="587" spans="6:6" ht="15.75" customHeight="1" x14ac:dyDescent="0.2">
      <c r="F587" s="67"/>
    </row>
    <row r="588" spans="6:6" ht="15.75" customHeight="1" x14ac:dyDescent="0.2">
      <c r="F588" s="67"/>
    </row>
    <row r="589" spans="6:6" ht="15.75" customHeight="1" x14ac:dyDescent="0.2">
      <c r="F589" s="67"/>
    </row>
    <row r="590" spans="6:6" ht="15.75" customHeight="1" x14ac:dyDescent="0.2">
      <c r="F590" s="67"/>
    </row>
    <row r="591" spans="6:6" ht="15.75" customHeight="1" x14ac:dyDescent="0.2">
      <c r="F591" s="67"/>
    </row>
    <row r="592" spans="6:6" ht="15.75" customHeight="1" x14ac:dyDescent="0.2">
      <c r="F592" s="67"/>
    </row>
    <row r="593" spans="6:6" ht="15.75" customHeight="1" x14ac:dyDescent="0.2">
      <c r="F593" s="67"/>
    </row>
    <row r="594" spans="6:6" ht="15.75" customHeight="1" x14ac:dyDescent="0.2">
      <c r="F594" s="67"/>
    </row>
    <row r="595" spans="6:6" ht="15.75" customHeight="1" x14ac:dyDescent="0.2">
      <c r="F595" s="67"/>
    </row>
    <row r="596" spans="6:6" ht="15.75" customHeight="1" x14ac:dyDescent="0.2">
      <c r="F596" s="67"/>
    </row>
    <row r="597" spans="6:6" ht="15.75" customHeight="1" x14ac:dyDescent="0.2">
      <c r="F597" s="67"/>
    </row>
    <row r="598" spans="6:6" ht="15.75" customHeight="1" x14ac:dyDescent="0.2">
      <c r="F598" s="67"/>
    </row>
    <row r="599" spans="6:6" ht="15.75" customHeight="1" x14ac:dyDescent="0.2">
      <c r="F599" s="67"/>
    </row>
    <row r="600" spans="6:6" ht="15.75" customHeight="1" x14ac:dyDescent="0.2">
      <c r="F600" s="67"/>
    </row>
    <row r="601" spans="6:6" ht="15.75" customHeight="1" x14ac:dyDescent="0.2">
      <c r="F601" s="67"/>
    </row>
    <row r="602" spans="6:6" ht="15.75" customHeight="1" x14ac:dyDescent="0.2">
      <c r="F602" s="67"/>
    </row>
    <row r="603" spans="6:6" ht="15.75" customHeight="1" x14ac:dyDescent="0.2">
      <c r="F603" s="67"/>
    </row>
    <row r="604" spans="6:6" ht="15.75" customHeight="1" x14ac:dyDescent="0.2">
      <c r="F604" s="67"/>
    </row>
    <row r="605" spans="6:6" ht="15.75" customHeight="1" x14ac:dyDescent="0.2">
      <c r="F605" s="67"/>
    </row>
    <row r="606" spans="6:6" ht="15.75" customHeight="1" x14ac:dyDescent="0.2">
      <c r="F606" s="67"/>
    </row>
    <row r="607" spans="6:6" ht="15.75" customHeight="1" x14ac:dyDescent="0.2">
      <c r="F607" s="67"/>
    </row>
    <row r="608" spans="6:6" ht="15.75" customHeight="1" x14ac:dyDescent="0.2">
      <c r="F608" s="67"/>
    </row>
    <row r="609" spans="6:6" ht="15.75" customHeight="1" x14ac:dyDescent="0.2">
      <c r="F609" s="67"/>
    </row>
    <row r="610" spans="6:6" ht="15.75" customHeight="1" x14ac:dyDescent="0.2">
      <c r="F610" s="67"/>
    </row>
    <row r="611" spans="6:6" ht="15.75" customHeight="1" x14ac:dyDescent="0.2">
      <c r="F611" s="67"/>
    </row>
    <row r="612" spans="6:6" ht="15.75" customHeight="1" x14ac:dyDescent="0.2">
      <c r="F612" s="67"/>
    </row>
    <row r="613" spans="6:6" ht="15.75" customHeight="1" x14ac:dyDescent="0.2">
      <c r="F613" s="67"/>
    </row>
    <row r="614" spans="6:6" ht="15.75" customHeight="1" x14ac:dyDescent="0.2">
      <c r="F614" s="67"/>
    </row>
    <row r="615" spans="6:6" ht="15.75" customHeight="1" x14ac:dyDescent="0.2">
      <c r="F615" s="67"/>
    </row>
    <row r="616" spans="6:6" ht="15.75" customHeight="1" x14ac:dyDescent="0.2">
      <c r="F616" s="67"/>
    </row>
    <row r="617" spans="6:6" ht="15.75" customHeight="1" x14ac:dyDescent="0.2">
      <c r="F617" s="67"/>
    </row>
    <row r="618" spans="6:6" ht="15.75" customHeight="1" x14ac:dyDescent="0.2">
      <c r="F618" s="67"/>
    </row>
    <row r="619" spans="6:6" ht="15.75" customHeight="1" x14ac:dyDescent="0.2">
      <c r="F619" s="67"/>
    </row>
    <row r="620" spans="6:6" ht="15.75" customHeight="1" x14ac:dyDescent="0.2">
      <c r="F620" s="67"/>
    </row>
    <row r="621" spans="6:6" ht="15.75" customHeight="1" x14ac:dyDescent="0.2">
      <c r="F621" s="67"/>
    </row>
    <row r="622" spans="6:6" ht="15.75" customHeight="1" x14ac:dyDescent="0.2">
      <c r="F622" s="67"/>
    </row>
    <row r="623" spans="6:6" ht="15.75" customHeight="1" x14ac:dyDescent="0.2">
      <c r="F623" s="67"/>
    </row>
    <row r="624" spans="6:6" ht="15.75" customHeight="1" x14ac:dyDescent="0.2">
      <c r="F624" s="67"/>
    </row>
    <row r="625" spans="6:6" ht="15.75" customHeight="1" x14ac:dyDescent="0.2">
      <c r="F625" s="67"/>
    </row>
    <row r="626" spans="6:6" ht="15.75" customHeight="1" x14ac:dyDescent="0.2">
      <c r="F626" s="67"/>
    </row>
    <row r="627" spans="6:6" ht="15.75" customHeight="1" x14ac:dyDescent="0.2">
      <c r="F627" s="67"/>
    </row>
    <row r="628" spans="6:6" ht="15.75" customHeight="1" x14ac:dyDescent="0.2">
      <c r="F628" s="67"/>
    </row>
    <row r="629" spans="6:6" ht="15.75" customHeight="1" x14ac:dyDescent="0.2">
      <c r="F629" s="67"/>
    </row>
    <row r="630" spans="6:6" ht="15.75" customHeight="1" x14ac:dyDescent="0.2">
      <c r="F630" s="67"/>
    </row>
    <row r="631" spans="6:6" ht="15.75" customHeight="1" x14ac:dyDescent="0.2">
      <c r="F631" s="67"/>
    </row>
    <row r="632" spans="6:6" ht="15.75" customHeight="1" x14ac:dyDescent="0.2">
      <c r="F632" s="67"/>
    </row>
    <row r="633" spans="6:6" ht="15.75" customHeight="1" x14ac:dyDescent="0.2">
      <c r="F633" s="67"/>
    </row>
    <row r="634" spans="6:6" ht="15.75" customHeight="1" x14ac:dyDescent="0.2">
      <c r="F634" s="67"/>
    </row>
    <row r="635" spans="6:6" ht="15.75" customHeight="1" x14ac:dyDescent="0.2">
      <c r="F635" s="67"/>
    </row>
    <row r="636" spans="6:6" ht="15.75" customHeight="1" x14ac:dyDescent="0.2">
      <c r="F636" s="67"/>
    </row>
    <row r="637" spans="6:6" ht="15.75" customHeight="1" x14ac:dyDescent="0.2">
      <c r="F637" s="67"/>
    </row>
    <row r="638" spans="6:6" ht="15.75" customHeight="1" x14ac:dyDescent="0.2">
      <c r="F638" s="67"/>
    </row>
    <row r="639" spans="6:6" ht="15.75" customHeight="1" x14ac:dyDescent="0.2">
      <c r="F639" s="67"/>
    </row>
    <row r="640" spans="6:6" ht="15.75" customHeight="1" x14ac:dyDescent="0.2">
      <c r="F640" s="67"/>
    </row>
    <row r="641" spans="6:6" ht="15.75" customHeight="1" x14ac:dyDescent="0.2">
      <c r="F641" s="67"/>
    </row>
    <row r="642" spans="6:6" ht="15.75" customHeight="1" x14ac:dyDescent="0.2">
      <c r="F642" s="67"/>
    </row>
    <row r="643" spans="6:6" ht="15.75" customHeight="1" x14ac:dyDescent="0.2">
      <c r="F643" s="67"/>
    </row>
    <row r="644" spans="6:6" ht="15.75" customHeight="1" x14ac:dyDescent="0.2">
      <c r="F644" s="67"/>
    </row>
    <row r="645" spans="6:6" ht="15.75" customHeight="1" x14ac:dyDescent="0.2">
      <c r="F645" s="67"/>
    </row>
    <row r="646" spans="6:6" ht="15.75" customHeight="1" x14ac:dyDescent="0.2">
      <c r="F646" s="67"/>
    </row>
    <row r="647" spans="6:6" ht="15.75" customHeight="1" x14ac:dyDescent="0.2">
      <c r="F647" s="67"/>
    </row>
    <row r="648" spans="6:6" ht="15.75" customHeight="1" x14ac:dyDescent="0.2">
      <c r="F648" s="67"/>
    </row>
    <row r="649" spans="6:6" ht="15.75" customHeight="1" x14ac:dyDescent="0.2">
      <c r="F649" s="67"/>
    </row>
    <row r="650" spans="6:6" ht="15.75" customHeight="1" x14ac:dyDescent="0.2">
      <c r="F650" s="67"/>
    </row>
    <row r="651" spans="6:6" ht="15.75" customHeight="1" x14ac:dyDescent="0.2">
      <c r="F651" s="67"/>
    </row>
    <row r="652" spans="6:6" ht="15.75" customHeight="1" x14ac:dyDescent="0.2">
      <c r="F652" s="67"/>
    </row>
    <row r="653" spans="6:6" ht="15.75" customHeight="1" x14ac:dyDescent="0.2">
      <c r="F653" s="67"/>
    </row>
    <row r="654" spans="6:6" ht="15.75" customHeight="1" x14ac:dyDescent="0.2">
      <c r="F654" s="67"/>
    </row>
    <row r="655" spans="6:6" ht="15.75" customHeight="1" x14ac:dyDescent="0.2">
      <c r="F655" s="67"/>
    </row>
    <row r="656" spans="6:6" ht="15.75" customHeight="1" x14ac:dyDescent="0.2">
      <c r="F656" s="67"/>
    </row>
    <row r="657" spans="6:6" ht="15.75" customHeight="1" x14ac:dyDescent="0.2">
      <c r="F657" s="67"/>
    </row>
    <row r="658" spans="6:6" ht="15.75" customHeight="1" x14ac:dyDescent="0.2">
      <c r="F658" s="67"/>
    </row>
    <row r="659" spans="6:6" ht="15.75" customHeight="1" x14ac:dyDescent="0.2">
      <c r="F659" s="67"/>
    </row>
    <row r="660" spans="6:6" ht="15.75" customHeight="1" x14ac:dyDescent="0.2">
      <c r="F660" s="67"/>
    </row>
    <row r="661" spans="6:6" ht="15.75" customHeight="1" x14ac:dyDescent="0.2">
      <c r="F661" s="67"/>
    </row>
    <row r="662" spans="6:6" ht="15.75" customHeight="1" x14ac:dyDescent="0.2">
      <c r="F662" s="67"/>
    </row>
    <row r="663" spans="6:6" ht="15.75" customHeight="1" x14ac:dyDescent="0.2">
      <c r="F663" s="67"/>
    </row>
    <row r="664" spans="6:6" ht="15.75" customHeight="1" x14ac:dyDescent="0.2">
      <c r="F664" s="67"/>
    </row>
    <row r="665" spans="6:6" ht="15.75" customHeight="1" x14ac:dyDescent="0.2">
      <c r="F665" s="67"/>
    </row>
    <row r="666" spans="6:6" ht="15.75" customHeight="1" x14ac:dyDescent="0.2">
      <c r="F666" s="67"/>
    </row>
    <row r="667" spans="6:6" ht="15.75" customHeight="1" x14ac:dyDescent="0.2">
      <c r="F667" s="67"/>
    </row>
    <row r="668" spans="6:6" ht="15.75" customHeight="1" x14ac:dyDescent="0.2">
      <c r="F668" s="67"/>
    </row>
    <row r="669" spans="6:6" ht="15.75" customHeight="1" x14ac:dyDescent="0.2">
      <c r="F669" s="67"/>
    </row>
    <row r="670" spans="6:6" ht="15.75" customHeight="1" x14ac:dyDescent="0.2">
      <c r="F670" s="67"/>
    </row>
    <row r="671" spans="6:6" ht="15.75" customHeight="1" x14ac:dyDescent="0.2">
      <c r="F671" s="67"/>
    </row>
    <row r="672" spans="6:6" ht="15.75" customHeight="1" x14ac:dyDescent="0.2">
      <c r="F672" s="67"/>
    </row>
    <row r="673" spans="6:6" ht="15.75" customHeight="1" x14ac:dyDescent="0.2">
      <c r="F673" s="67"/>
    </row>
    <row r="674" spans="6:6" ht="15.75" customHeight="1" x14ac:dyDescent="0.2">
      <c r="F674" s="67"/>
    </row>
    <row r="675" spans="6:6" ht="15.75" customHeight="1" x14ac:dyDescent="0.2">
      <c r="F675" s="67"/>
    </row>
    <row r="676" spans="6:6" ht="15.75" customHeight="1" x14ac:dyDescent="0.2">
      <c r="F676" s="67"/>
    </row>
    <row r="677" spans="6:6" ht="15.75" customHeight="1" x14ac:dyDescent="0.2">
      <c r="F677" s="67"/>
    </row>
    <row r="678" spans="6:6" ht="15.75" customHeight="1" x14ac:dyDescent="0.2">
      <c r="F678" s="67"/>
    </row>
    <row r="679" spans="6:6" ht="15.75" customHeight="1" x14ac:dyDescent="0.2">
      <c r="F679" s="67"/>
    </row>
    <row r="680" spans="6:6" ht="15.75" customHeight="1" x14ac:dyDescent="0.2">
      <c r="F680" s="67"/>
    </row>
    <row r="681" spans="6:6" ht="15.75" customHeight="1" x14ac:dyDescent="0.2">
      <c r="F681" s="67"/>
    </row>
    <row r="682" spans="6:6" ht="15.75" customHeight="1" x14ac:dyDescent="0.2">
      <c r="F682" s="67"/>
    </row>
    <row r="683" spans="6:6" ht="15.75" customHeight="1" x14ac:dyDescent="0.2">
      <c r="F683" s="67"/>
    </row>
    <row r="684" spans="6:6" ht="15.75" customHeight="1" x14ac:dyDescent="0.2">
      <c r="F684" s="67"/>
    </row>
    <row r="685" spans="6:6" ht="15.75" customHeight="1" x14ac:dyDescent="0.2">
      <c r="F685" s="67"/>
    </row>
    <row r="686" spans="6:6" ht="15.75" customHeight="1" x14ac:dyDescent="0.2">
      <c r="F686" s="67"/>
    </row>
    <row r="687" spans="6:6" ht="15.75" customHeight="1" x14ac:dyDescent="0.2">
      <c r="F687" s="67"/>
    </row>
    <row r="688" spans="6:6" ht="15.75" customHeight="1" x14ac:dyDescent="0.2">
      <c r="F688" s="67"/>
    </row>
    <row r="689" spans="6:6" ht="15.75" customHeight="1" x14ac:dyDescent="0.2">
      <c r="F689" s="67"/>
    </row>
    <row r="690" spans="6:6" ht="15.75" customHeight="1" x14ac:dyDescent="0.2">
      <c r="F690" s="67"/>
    </row>
    <row r="691" spans="6:6" ht="15.75" customHeight="1" x14ac:dyDescent="0.2">
      <c r="F691" s="67"/>
    </row>
    <row r="692" spans="6:6" ht="15.75" customHeight="1" x14ac:dyDescent="0.2">
      <c r="F692" s="67"/>
    </row>
    <row r="693" spans="6:6" ht="15.75" customHeight="1" x14ac:dyDescent="0.2">
      <c r="F693" s="67"/>
    </row>
    <row r="694" spans="6:6" ht="15.75" customHeight="1" x14ac:dyDescent="0.2">
      <c r="F694" s="67"/>
    </row>
    <row r="695" spans="6:6" ht="15.75" customHeight="1" x14ac:dyDescent="0.2">
      <c r="F695" s="67"/>
    </row>
    <row r="696" spans="6:6" ht="15.75" customHeight="1" x14ac:dyDescent="0.2">
      <c r="F696" s="67"/>
    </row>
    <row r="697" spans="6:6" ht="15.75" customHeight="1" x14ac:dyDescent="0.2">
      <c r="F697" s="67"/>
    </row>
    <row r="698" spans="6:6" ht="15.75" customHeight="1" x14ac:dyDescent="0.2">
      <c r="F698" s="67"/>
    </row>
    <row r="699" spans="6:6" ht="15.75" customHeight="1" x14ac:dyDescent="0.2">
      <c r="F699" s="67"/>
    </row>
    <row r="700" spans="6:6" ht="15.75" customHeight="1" x14ac:dyDescent="0.2">
      <c r="F700" s="67"/>
    </row>
    <row r="701" spans="6:6" ht="15.75" customHeight="1" x14ac:dyDescent="0.2">
      <c r="F701" s="67"/>
    </row>
    <row r="702" spans="6:6" ht="15.75" customHeight="1" x14ac:dyDescent="0.2">
      <c r="F702" s="67"/>
    </row>
    <row r="703" spans="6:6" ht="15.75" customHeight="1" x14ac:dyDescent="0.2">
      <c r="F703" s="67"/>
    </row>
    <row r="704" spans="6:6" ht="15.75" customHeight="1" x14ac:dyDescent="0.2">
      <c r="F704" s="67"/>
    </row>
    <row r="705" spans="6:6" ht="15.75" customHeight="1" x14ac:dyDescent="0.2">
      <c r="F705" s="67"/>
    </row>
    <row r="706" spans="6:6" ht="15.75" customHeight="1" x14ac:dyDescent="0.2">
      <c r="F706" s="67"/>
    </row>
    <row r="707" spans="6:6" ht="15.75" customHeight="1" x14ac:dyDescent="0.2">
      <c r="F707" s="67"/>
    </row>
    <row r="708" spans="6:6" ht="15.75" customHeight="1" x14ac:dyDescent="0.2">
      <c r="F708" s="67"/>
    </row>
    <row r="709" spans="6:6" ht="15.75" customHeight="1" x14ac:dyDescent="0.2">
      <c r="F709" s="67"/>
    </row>
    <row r="710" spans="6:6" ht="15.75" customHeight="1" x14ac:dyDescent="0.2">
      <c r="F710" s="67"/>
    </row>
    <row r="711" spans="6:6" ht="15.75" customHeight="1" x14ac:dyDescent="0.2">
      <c r="F711" s="67"/>
    </row>
    <row r="712" spans="6:6" ht="15.75" customHeight="1" x14ac:dyDescent="0.2">
      <c r="F712" s="67"/>
    </row>
    <row r="713" spans="6:6" ht="15.75" customHeight="1" x14ac:dyDescent="0.2">
      <c r="F713" s="67"/>
    </row>
    <row r="714" spans="6:6" ht="15.75" customHeight="1" x14ac:dyDescent="0.2">
      <c r="F714" s="67"/>
    </row>
    <row r="715" spans="6:6" ht="15.75" customHeight="1" x14ac:dyDescent="0.2">
      <c r="F715" s="67"/>
    </row>
    <row r="716" spans="6:6" ht="15.75" customHeight="1" x14ac:dyDescent="0.2">
      <c r="F716" s="67"/>
    </row>
    <row r="717" spans="6:6" ht="15.75" customHeight="1" x14ac:dyDescent="0.2">
      <c r="F717" s="67"/>
    </row>
    <row r="718" spans="6:6" ht="15.75" customHeight="1" x14ac:dyDescent="0.2">
      <c r="F718" s="67"/>
    </row>
    <row r="719" spans="6:6" ht="15.75" customHeight="1" x14ac:dyDescent="0.2">
      <c r="F719" s="67"/>
    </row>
    <row r="720" spans="6:6" ht="15.75" customHeight="1" x14ac:dyDescent="0.2">
      <c r="F720" s="67"/>
    </row>
    <row r="721" spans="6:6" ht="15.75" customHeight="1" x14ac:dyDescent="0.2">
      <c r="F721" s="67"/>
    </row>
    <row r="722" spans="6:6" ht="15.75" customHeight="1" x14ac:dyDescent="0.2">
      <c r="F722" s="67"/>
    </row>
    <row r="723" spans="6:6" ht="15.75" customHeight="1" x14ac:dyDescent="0.2">
      <c r="F723" s="67"/>
    </row>
    <row r="724" spans="6:6" ht="15.75" customHeight="1" x14ac:dyDescent="0.2">
      <c r="F724" s="67"/>
    </row>
    <row r="725" spans="6:6" ht="15.75" customHeight="1" x14ac:dyDescent="0.2">
      <c r="F725" s="67"/>
    </row>
    <row r="726" spans="6:6" ht="15.75" customHeight="1" x14ac:dyDescent="0.2">
      <c r="F726" s="67"/>
    </row>
    <row r="727" spans="6:6" ht="15.75" customHeight="1" x14ac:dyDescent="0.2">
      <c r="F727" s="67"/>
    </row>
    <row r="728" spans="6:6" ht="15.75" customHeight="1" x14ac:dyDescent="0.2">
      <c r="F728" s="67"/>
    </row>
    <row r="729" spans="6:6" ht="15.75" customHeight="1" x14ac:dyDescent="0.2">
      <c r="F729" s="67"/>
    </row>
    <row r="730" spans="6:6" ht="15.75" customHeight="1" x14ac:dyDescent="0.2">
      <c r="F730" s="67"/>
    </row>
    <row r="731" spans="6:6" ht="15.75" customHeight="1" x14ac:dyDescent="0.2">
      <c r="F731" s="67"/>
    </row>
    <row r="732" spans="6:6" ht="15.75" customHeight="1" x14ac:dyDescent="0.2">
      <c r="F732" s="67"/>
    </row>
    <row r="733" spans="6:6" ht="15.75" customHeight="1" x14ac:dyDescent="0.2">
      <c r="F733" s="67"/>
    </row>
    <row r="734" spans="6:6" ht="15.75" customHeight="1" x14ac:dyDescent="0.2">
      <c r="F734" s="67"/>
    </row>
    <row r="735" spans="6:6" ht="15.75" customHeight="1" x14ac:dyDescent="0.2">
      <c r="F735" s="67"/>
    </row>
    <row r="736" spans="6:6" ht="15.75" customHeight="1" x14ac:dyDescent="0.2">
      <c r="F736" s="67"/>
    </row>
    <row r="737" spans="6:6" ht="15.75" customHeight="1" x14ac:dyDescent="0.2">
      <c r="F737" s="67"/>
    </row>
    <row r="738" spans="6:6" ht="15.75" customHeight="1" x14ac:dyDescent="0.2">
      <c r="F738" s="67"/>
    </row>
    <row r="739" spans="6:6" ht="15.75" customHeight="1" x14ac:dyDescent="0.2">
      <c r="F739" s="67"/>
    </row>
    <row r="740" spans="6:6" ht="15.75" customHeight="1" x14ac:dyDescent="0.2">
      <c r="F740" s="67"/>
    </row>
    <row r="741" spans="6:6" ht="15.75" customHeight="1" x14ac:dyDescent="0.2">
      <c r="F741" s="67"/>
    </row>
    <row r="742" spans="6:6" ht="15.75" customHeight="1" x14ac:dyDescent="0.2">
      <c r="F742" s="67"/>
    </row>
    <row r="743" spans="6:6" ht="15.75" customHeight="1" x14ac:dyDescent="0.2">
      <c r="F743" s="67"/>
    </row>
    <row r="744" spans="6:6" ht="15.75" customHeight="1" x14ac:dyDescent="0.2">
      <c r="F744" s="67"/>
    </row>
    <row r="745" spans="6:6" ht="15.75" customHeight="1" x14ac:dyDescent="0.2">
      <c r="F745" s="67"/>
    </row>
    <row r="746" spans="6:6" ht="15.75" customHeight="1" x14ac:dyDescent="0.2">
      <c r="F746" s="67"/>
    </row>
    <row r="747" spans="6:6" ht="15.75" customHeight="1" x14ac:dyDescent="0.2">
      <c r="F747" s="67"/>
    </row>
    <row r="748" spans="6:6" ht="15.75" customHeight="1" x14ac:dyDescent="0.2">
      <c r="F748" s="67"/>
    </row>
    <row r="749" spans="6:6" ht="15.75" customHeight="1" x14ac:dyDescent="0.2">
      <c r="F749" s="67"/>
    </row>
    <row r="750" spans="6:6" ht="15.75" customHeight="1" x14ac:dyDescent="0.2">
      <c r="F750" s="67"/>
    </row>
    <row r="751" spans="6:6" ht="15.75" customHeight="1" x14ac:dyDescent="0.2">
      <c r="F751" s="67"/>
    </row>
    <row r="752" spans="6:6" ht="15.75" customHeight="1" x14ac:dyDescent="0.2">
      <c r="F752" s="67"/>
    </row>
    <row r="753" spans="6:6" ht="15.75" customHeight="1" x14ac:dyDescent="0.2">
      <c r="F753" s="67"/>
    </row>
    <row r="754" spans="6:6" ht="15.75" customHeight="1" x14ac:dyDescent="0.2">
      <c r="F754" s="67"/>
    </row>
    <row r="755" spans="6:6" ht="15.75" customHeight="1" x14ac:dyDescent="0.2">
      <c r="F755" s="67"/>
    </row>
    <row r="756" spans="6:6" ht="15.75" customHeight="1" x14ac:dyDescent="0.2">
      <c r="F756" s="67"/>
    </row>
    <row r="757" spans="6:6" ht="15.75" customHeight="1" x14ac:dyDescent="0.2">
      <c r="F757" s="67"/>
    </row>
    <row r="758" spans="6:6" ht="15.75" customHeight="1" x14ac:dyDescent="0.2">
      <c r="F758" s="67"/>
    </row>
    <row r="759" spans="6:6" ht="15.75" customHeight="1" x14ac:dyDescent="0.2">
      <c r="F759" s="67"/>
    </row>
    <row r="760" spans="6:6" ht="15.75" customHeight="1" x14ac:dyDescent="0.2">
      <c r="F760" s="67"/>
    </row>
    <row r="761" spans="6:6" ht="15.75" customHeight="1" x14ac:dyDescent="0.2">
      <c r="F761" s="67"/>
    </row>
    <row r="762" spans="6:6" ht="15.75" customHeight="1" x14ac:dyDescent="0.2">
      <c r="F762" s="67"/>
    </row>
    <row r="763" spans="6:6" ht="15.75" customHeight="1" x14ac:dyDescent="0.2">
      <c r="F763" s="67"/>
    </row>
    <row r="764" spans="6:6" ht="15.75" customHeight="1" x14ac:dyDescent="0.2">
      <c r="F764" s="67"/>
    </row>
    <row r="765" spans="6:6" ht="15.75" customHeight="1" x14ac:dyDescent="0.2">
      <c r="F765" s="67"/>
    </row>
    <row r="766" spans="6:6" ht="15.75" customHeight="1" x14ac:dyDescent="0.2">
      <c r="F766" s="67"/>
    </row>
    <row r="767" spans="6:6" ht="15.75" customHeight="1" x14ac:dyDescent="0.2">
      <c r="F767" s="67"/>
    </row>
    <row r="768" spans="6:6" ht="15.75" customHeight="1" x14ac:dyDescent="0.2">
      <c r="F768" s="67"/>
    </row>
    <row r="769" spans="6:6" ht="15.75" customHeight="1" x14ac:dyDescent="0.2">
      <c r="F769" s="67"/>
    </row>
    <row r="770" spans="6:6" ht="15.75" customHeight="1" x14ac:dyDescent="0.2">
      <c r="F770" s="67"/>
    </row>
    <row r="771" spans="6:6" ht="15.75" customHeight="1" x14ac:dyDescent="0.2">
      <c r="F771" s="67"/>
    </row>
    <row r="772" spans="6:6" ht="15.75" customHeight="1" x14ac:dyDescent="0.2">
      <c r="F772" s="67"/>
    </row>
    <row r="773" spans="6:6" ht="15.75" customHeight="1" x14ac:dyDescent="0.2">
      <c r="F773" s="67"/>
    </row>
    <row r="774" spans="6:6" ht="15.75" customHeight="1" x14ac:dyDescent="0.2">
      <c r="F774" s="67"/>
    </row>
    <row r="775" spans="6:6" ht="15.75" customHeight="1" x14ac:dyDescent="0.2">
      <c r="F775" s="67"/>
    </row>
    <row r="776" spans="6:6" ht="15.75" customHeight="1" x14ac:dyDescent="0.2">
      <c r="F776" s="67"/>
    </row>
    <row r="777" spans="6:6" ht="15.75" customHeight="1" x14ac:dyDescent="0.2">
      <c r="F777" s="67"/>
    </row>
    <row r="778" spans="6:6" ht="15.75" customHeight="1" x14ac:dyDescent="0.2">
      <c r="F778" s="67"/>
    </row>
    <row r="779" spans="6:6" ht="15.75" customHeight="1" x14ac:dyDescent="0.2">
      <c r="F779" s="67"/>
    </row>
    <row r="780" spans="6:6" ht="15.75" customHeight="1" x14ac:dyDescent="0.2">
      <c r="F780" s="67"/>
    </row>
    <row r="781" spans="6:6" ht="15.75" customHeight="1" x14ac:dyDescent="0.2">
      <c r="F781" s="67"/>
    </row>
    <row r="782" spans="6:6" ht="15.75" customHeight="1" x14ac:dyDescent="0.2">
      <c r="F782" s="67"/>
    </row>
    <row r="783" spans="6:6" ht="15.75" customHeight="1" x14ac:dyDescent="0.2">
      <c r="F783" s="67"/>
    </row>
    <row r="784" spans="6:6" ht="15.75" customHeight="1" x14ac:dyDescent="0.2">
      <c r="F784" s="67"/>
    </row>
    <row r="785" spans="6:6" ht="15.75" customHeight="1" x14ac:dyDescent="0.2">
      <c r="F785" s="67"/>
    </row>
    <row r="786" spans="6:6" ht="15.75" customHeight="1" x14ac:dyDescent="0.2">
      <c r="F786" s="67"/>
    </row>
    <row r="787" spans="6:6" ht="15.75" customHeight="1" x14ac:dyDescent="0.2">
      <c r="F787" s="67"/>
    </row>
    <row r="788" spans="6:6" ht="15.75" customHeight="1" x14ac:dyDescent="0.2">
      <c r="F788" s="67"/>
    </row>
    <row r="789" spans="6:6" ht="15.75" customHeight="1" x14ac:dyDescent="0.2">
      <c r="F789" s="67"/>
    </row>
    <row r="790" spans="6:6" ht="15.75" customHeight="1" x14ac:dyDescent="0.2">
      <c r="F790" s="67"/>
    </row>
    <row r="791" spans="6:6" ht="15.75" customHeight="1" x14ac:dyDescent="0.2">
      <c r="F791" s="67"/>
    </row>
    <row r="792" spans="6:6" ht="15.75" customHeight="1" x14ac:dyDescent="0.2">
      <c r="F792" s="67"/>
    </row>
    <row r="793" spans="6:6" ht="15.75" customHeight="1" x14ac:dyDescent="0.2">
      <c r="F793" s="67"/>
    </row>
    <row r="794" spans="6:6" ht="15.75" customHeight="1" x14ac:dyDescent="0.2">
      <c r="F794" s="67"/>
    </row>
    <row r="795" spans="6:6" ht="15.75" customHeight="1" x14ac:dyDescent="0.2">
      <c r="F795" s="67"/>
    </row>
    <row r="796" spans="6:6" ht="15.75" customHeight="1" x14ac:dyDescent="0.2">
      <c r="F796" s="67"/>
    </row>
    <row r="797" spans="6:6" ht="15.75" customHeight="1" x14ac:dyDescent="0.2">
      <c r="F797" s="67"/>
    </row>
    <row r="798" spans="6:6" ht="15.75" customHeight="1" x14ac:dyDescent="0.2">
      <c r="F798" s="67"/>
    </row>
    <row r="799" spans="6:6" ht="15.75" customHeight="1" x14ac:dyDescent="0.2">
      <c r="F799" s="67"/>
    </row>
    <row r="800" spans="6:6" ht="15.75" customHeight="1" x14ac:dyDescent="0.2">
      <c r="F800" s="67"/>
    </row>
    <row r="801" spans="6:6" ht="15.75" customHeight="1" x14ac:dyDescent="0.2">
      <c r="F801" s="67"/>
    </row>
    <row r="802" spans="6:6" ht="15.75" customHeight="1" x14ac:dyDescent="0.2">
      <c r="F802" s="67"/>
    </row>
    <row r="803" spans="6:6" ht="15.75" customHeight="1" x14ac:dyDescent="0.2">
      <c r="F803" s="67"/>
    </row>
    <row r="804" spans="6:6" ht="15.75" customHeight="1" x14ac:dyDescent="0.2">
      <c r="F804" s="67"/>
    </row>
    <row r="805" spans="6:6" ht="15.75" customHeight="1" x14ac:dyDescent="0.2">
      <c r="F805" s="67"/>
    </row>
    <row r="806" spans="6:6" ht="15.75" customHeight="1" x14ac:dyDescent="0.2">
      <c r="F806" s="67"/>
    </row>
    <row r="807" spans="6:6" ht="15.75" customHeight="1" x14ac:dyDescent="0.2">
      <c r="F807" s="67"/>
    </row>
    <row r="808" spans="6:6" ht="15.75" customHeight="1" x14ac:dyDescent="0.2">
      <c r="F808" s="67"/>
    </row>
    <row r="809" spans="6:6" ht="15.75" customHeight="1" x14ac:dyDescent="0.2">
      <c r="F809" s="67"/>
    </row>
    <row r="810" spans="6:6" ht="15.75" customHeight="1" x14ac:dyDescent="0.2">
      <c r="F810" s="67"/>
    </row>
    <row r="811" spans="6:6" ht="15.75" customHeight="1" x14ac:dyDescent="0.2">
      <c r="F811" s="67"/>
    </row>
    <row r="812" spans="6:6" ht="15.75" customHeight="1" x14ac:dyDescent="0.2">
      <c r="F812" s="67"/>
    </row>
    <row r="813" spans="6:6" ht="15.75" customHeight="1" x14ac:dyDescent="0.2">
      <c r="F813" s="67"/>
    </row>
    <row r="814" spans="6:6" ht="15.75" customHeight="1" x14ac:dyDescent="0.2">
      <c r="F814" s="67"/>
    </row>
    <row r="815" spans="6:6" ht="15.75" customHeight="1" x14ac:dyDescent="0.2">
      <c r="F815" s="67"/>
    </row>
    <row r="816" spans="6:6" ht="15.75" customHeight="1" x14ac:dyDescent="0.2">
      <c r="F816" s="67"/>
    </row>
    <row r="817" spans="6:6" ht="15.75" customHeight="1" x14ac:dyDescent="0.2">
      <c r="F817" s="67"/>
    </row>
    <row r="818" spans="6:6" ht="15.75" customHeight="1" x14ac:dyDescent="0.2">
      <c r="F818" s="67"/>
    </row>
    <row r="819" spans="6:6" ht="15.75" customHeight="1" x14ac:dyDescent="0.2">
      <c r="F819" s="67"/>
    </row>
    <row r="820" spans="6:6" ht="15.75" customHeight="1" x14ac:dyDescent="0.2">
      <c r="F820" s="67"/>
    </row>
    <row r="821" spans="6:6" ht="15.75" customHeight="1" x14ac:dyDescent="0.2">
      <c r="F821" s="67"/>
    </row>
    <row r="822" spans="6:6" ht="15.75" customHeight="1" x14ac:dyDescent="0.2">
      <c r="F822" s="67"/>
    </row>
    <row r="823" spans="6:6" ht="15.75" customHeight="1" x14ac:dyDescent="0.2">
      <c r="F823" s="67"/>
    </row>
    <row r="824" spans="6:6" ht="15.75" customHeight="1" x14ac:dyDescent="0.2">
      <c r="F824" s="67"/>
    </row>
    <row r="825" spans="6:6" ht="15.75" customHeight="1" x14ac:dyDescent="0.2">
      <c r="F825" s="67"/>
    </row>
    <row r="826" spans="6:6" ht="15.75" customHeight="1" x14ac:dyDescent="0.2">
      <c r="F826" s="67"/>
    </row>
    <row r="827" spans="6:6" ht="15.75" customHeight="1" x14ac:dyDescent="0.2">
      <c r="F827" s="67"/>
    </row>
    <row r="828" spans="6:6" ht="15.75" customHeight="1" x14ac:dyDescent="0.2">
      <c r="F828" s="67"/>
    </row>
    <row r="829" spans="6:6" ht="15.75" customHeight="1" x14ac:dyDescent="0.2">
      <c r="F829" s="67"/>
    </row>
    <row r="830" spans="6:6" ht="15.75" customHeight="1" x14ac:dyDescent="0.2">
      <c r="F830" s="67"/>
    </row>
    <row r="831" spans="6:6" ht="15.75" customHeight="1" x14ac:dyDescent="0.2">
      <c r="F831" s="67"/>
    </row>
    <row r="832" spans="6:6" ht="15.75" customHeight="1" x14ac:dyDescent="0.2">
      <c r="F832" s="67"/>
    </row>
    <row r="833" spans="6:6" ht="15.75" customHeight="1" x14ac:dyDescent="0.2">
      <c r="F833" s="67"/>
    </row>
    <row r="834" spans="6:6" ht="15.75" customHeight="1" x14ac:dyDescent="0.2">
      <c r="F834" s="67"/>
    </row>
    <row r="835" spans="6:6" ht="15.75" customHeight="1" x14ac:dyDescent="0.2">
      <c r="F835" s="67"/>
    </row>
    <row r="836" spans="6:6" ht="15.75" customHeight="1" x14ac:dyDescent="0.2">
      <c r="F836" s="67"/>
    </row>
    <row r="837" spans="6:6" ht="15.75" customHeight="1" x14ac:dyDescent="0.2">
      <c r="F837" s="67"/>
    </row>
    <row r="838" spans="6:6" ht="15.75" customHeight="1" x14ac:dyDescent="0.2">
      <c r="F838" s="67"/>
    </row>
    <row r="839" spans="6:6" ht="15.75" customHeight="1" x14ac:dyDescent="0.2">
      <c r="F839" s="67"/>
    </row>
    <row r="840" spans="6:6" ht="15.75" customHeight="1" x14ac:dyDescent="0.2">
      <c r="F840" s="67"/>
    </row>
    <row r="841" spans="6:6" ht="15.75" customHeight="1" x14ac:dyDescent="0.2">
      <c r="F841" s="67"/>
    </row>
    <row r="842" spans="6:6" ht="15.75" customHeight="1" x14ac:dyDescent="0.2">
      <c r="F842" s="67"/>
    </row>
    <row r="843" spans="6:6" ht="15.75" customHeight="1" x14ac:dyDescent="0.2">
      <c r="F843" s="67"/>
    </row>
    <row r="844" spans="6:6" ht="15.75" customHeight="1" x14ac:dyDescent="0.2">
      <c r="F844" s="67"/>
    </row>
    <row r="845" spans="6:6" ht="15.75" customHeight="1" x14ac:dyDescent="0.2">
      <c r="F845" s="67"/>
    </row>
    <row r="846" spans="6:6" ht="15.75" customHeight="1" x14ac:dyDescent="0.2">
      <c r="F846" s="67"/>
    </row>
    <row r="847" spans="6:6" ht="15.75" customHeight="1" x14ac:dyDescent="0.2">
      <c r="F847" s="67"/>
    </row>
    <row r="848" spans="6:6" ht="15.75" customHeight="1" x14ac:dyDescent="0.2">
      <c r="F848" s="67"/>
    </row>
    <row r="849" spans="6:6" ht="15.75" customHeight="1" x14ac:dyDescent="0.2">
      <c r="F849" s="67"/>
    </row>
    <row r="850" spans="6:6" ht="15.75" customHeight="1" x14ac:dyDescent="0.2">
      <c r="F850" s="67"/>
    </row>
    <row r="851" spans="6:6" ht="15.75" customHeight="1" x14ac:dyDescent="0.2">
      <c r="F851" s="67"/>
    </row>
    <row r="852" spans="6:6" ht="15.75" customHeight="1" x14ac:dyDescent="0.2">
      <c r="F852" s="67"/>
    </row>
    <row r="853" spans="6:6" ht="15.75" customHeight="1" x14ac:dyDescent="0.2">
      <c r="F853" s="67"/>
    </row>
    <row r="854" spans="6:6" ht="15.75" customHeight="1" x14ac:dyDescent="0.2">
      <c r="F854" s="67"/>
    </row>
    <row r="855" spans="6:6" ht="15.75" customHeight="1" x14ac:dyDescent="0.2">
      <c r="F855" s="67"/>
    </row>
    <row r="856" spans="6:6" ht="15.75" customHeight="1" x14ac:dyDescent="0.2">
      <c r="F856" s="67"/>
    </row>
    <row r="857" spans="6:6" ht="15.75" customHeight="1" x14ac:dyDescent="0.2">
      <c r="F857" s="67"/>
    </row>
    <row r="858" spans="6:6" ht="15.75" customHeight="1" x14ac:dyDescent="0.2">
      <c r="F858" s="67"/>
    </row>
    <row r="859" spans="6:6" ht="15.75" customHeight="1" x14ac:dyDescent="0.2">
      <c r="F859" s="67"/>
    </row>
    <row r="860" spans="6:6" ht="15.75" customHeight="1" x14ac:dyDescent="0.2">
      <c r="F860" s="67"/>
    </row>
    <row r="861" spans="6:6" ht="15.75" customHeight="1" x14ac:dyDescent="0.2">
      <c r="F861" s="67"/>
    </row>
    <row r="862" spans="6:6" ht="15.75" customHeight="1" x14ac:dyDescent="0.2">
      <c r="F862" s="67"/>
    </row>
    <row r="863" spans="6:6" ht="15.75" customHeight="1" x14ac:dyDescent="0.2">
      <c r="F863" s="67"/>
    </row>
    <row r="864" spans="6:6" ht="15.75" customHeight="1" x14ac:dyDescent="0.2">
      <c r="F864" s="67"/>
    </row>
    <row r="865" spans="6:6" ht="15.75" customHeight="1" x14ac:dyDescent="0.2">
      <c r="F865" s="67"/>
    </row>
    <row r="866" spans="6:6" ht="15.75" customHeight="1" x14ac:dyDescent="0.2">
      <c r="F866" s="67"/>
    </row>
    <row r="867" spans="6:6" ht="15.75" customHeight="1" x14ac:dyDescent="0.2">
      <c r="F867" s="67"/>
    </row>
    <row r="868" spans="6:6" ht="15.75" customHeight="1" x14ac:dyDescent="0.2">
      <c r="F868" s="67"/>
    </row>
    <row r="869" spans="6:6" ht="15.75" customHeight="1" x14ac:dyDescent="0.2">
      <c r="F869" s="67"/>
    </row>
    <row r="870" spans="6:6" ht="15.75" customHeight="1" x14ac:dyDescent="0.2">
      <c r="F870" s="67"/>
    </row>
    <row r="871" spans="6:6" ht="15.75" customHeight="1" x14ac:dyDescent="0.2">
      <c r="F871" s="67"/>
    </row>
    <row r="872" spans="6:6" ht="15.75" customHeight="1" x14ac:dyDescent="0.2">
      <c r="F872" s="67"/>
    </row>
    <row r="873" spans="6:6" ht="15.75" customHeight="1" x14ac:dyDescent="0.2">
      <c r="F873" s="67"/>
    </row>
    <row r="874" spans="6:6" ht="15.75" customHeight="1" x14ac:dyDescent="0.2">
      <c r="F874" s="67"/>
    </row>
    <row r="875" spans="6:6" ht="15.75" customHeight="1" x14ac:dyDescent="0.2">
      <c r="F875" s="67"/>
    </row>
    <row r="876" spans="6:6" ht="15.75" customHeight="1" x14ac:dyDescent="0.2">
      <c r="F876" s="67"/>
    </row>
    <row r="877" spans="6:6" ht="15.75" customHeight="1" x14ac:dyDescent="0.2">
      <c r="F877" s="67"/>
    </row>
    <row r="878" spans="6:6" ht="15.75" customHeight="1" x14ac:dyDescent="0.2">
      <c r="F878" s="67"/>
    </row>
    <row r="879" spans="6:6" ht="15.75" customHeight="1" x14ac:dyDescent="0.2">
      <c r="F879" s="67"/>
    </row>
    <row r="880" spans="6:6" ht="15.75" customHeight="1" x14ac:dyDescent="0.2">
      <c r="F880" s="67"/>
    </row>
    <row r="881" spans="6:6" ht="15.75" customHeight="1" x14ac:dyDescent="0.2">
      <c r="F881" s="67"/>
    </row>
    <row r="882" spans="6:6" ht="15.75" customHeight="1" x14ac:dyDescent="0.2">
      <c r="F882" s="67"/>
    </row>
    <row r="883" spans="6:6" ht="15.75" customHeight="1" x14ac:dyDescent="0.2">
      <c r="F883" s="67"/>
    </row>
    <row r="884" spans="6:6" ht="15.75" customHeight="1" x14ac:dyDescent="0.2">
      <c r="F884" s="67"/>
    </row>
    <row r="885" spans="6:6" ht="15.75" customHeight="1" x14ac:dyDescent="0.2">
      <c r="F885" s="67"/>
    </row>
    <row r="886" spans="6:6" ht="15.75" customHeight="1" x14ac:dyDescent="0.2">
      <c r="F886" s="67"/>
    </row>
    <row r="887" spans="6:6" ht="15.75" customHeight="1" x14ac:dyDescent="0.2">
      <c r="F887" s="67"/>
    </row>
    <row r="888" spans="6:6" ht="15.75" customHeight="1" x14ac:dyDescent="0.2">
      <c r="F888" s="67"/>
    </row>
    <row r="889" spans="6:6" ht="15.75" customHeight="1" x14ac:dyDescent="0.2">
      <c r="F889" s="67"/>
    </row>
    <row r="890" spans="6:6" ht="15.75" customHeight="1" x14ac:dyDescent="0.2">
      <c r="F890" s="67"/>
    </row>
    <row r="891" spans="6:6" ht="15.75" customHeight="1" x14ac:dyDescent="0.2">
      <c r="F891" s="67"/>
    </row>
    <row r="892" spans="6:6" ht="15.75" customHeight="1" x14ac:dyDescent="0.2">
      <c r="F892" s="67"/>
    </row>
    <row r="893" spans="6:6" ht="15.75" customHeight="1" x14ac:dyDescent="0.2">
      <c r="F893" s="67"/>
    </row>
    <row r="894" spans="6:6" ht="15.75" customHeight="1" x14ac:dyDescent="0.2">
      <c r="F894" s="67"/>
    </row>
    <row r="895" spans="6:6" ht="15.75" customHeight="1" x14ac:dyDescent="0.2">
      <c r="F895" s="67"/>
    </row>
    <row r="896" spans="6:6" ht="15.75" customHeight="1" x14ac:dyDescent="0.2">
      <c r="F896" s="67"/>
    </row>
    <row r="897" spans="6:6" ht="15.75" customHeight="1" x14ac:dyDescent="0.2">
      <c r="F897" s="67"/>
    </row>
    <row r="898" spans="6:6" ht="15.75" customHeight="1" x14ac:dyDescent="0.2">
      <c r="F898" s="67"/>
    </row>
    <row r="899" spans="6:6" ht="15.75" customHeight="1" x14ac:dyDescent="0.2">
      <c r="F899" s="67"/>
    </row>
    <row r="900" spans="6:6" ht="15.75" customHeight="1" x14ac:dyDescent="0.2">
      <c r="F900" s="67"/>
    </row>
    <row r="901" spans="6:6" ht="15.75" customHeight="1" x14ac:dyDescent="0.2">
      <c r="F901" s="67"/>
    </row>
    <row r="902" spans="6:6" ht="15.75" customHeight="1" x14ac:dyDescent="0.2">
      <c r="F902" s="67"/>
    </row>
    <row r="903" spans="6:6" ht="15.75" customHeight="1" x14ac:dyDescent="0.2">
      <c r="F903" s="67"/>
    </row>
    <row r="904" spans="6:6" ht="15.75" customHeight="1" x14ac:dyDescent="0.2">
      <c r="F904" s="67"/>
    </row>
    <row r="905" spans="6:6" ht="15.75" customHeight="1" x14ac:dyDescent="0.2">
      <c r="F905" s="67"/>
    </row>
    <row r="906" spans="6:6" ht="15.75" customHeight="1" x14ac:dyDescent="0.2">
      <c r="F906" s="67"/>
    </row>
    <row r="907" spans="6:6" ht="15.75" customHeight="1" x14ac:dyDescent="0.2">
      <c r="F907" s="67"/>
    </row>
    <row r="908" spans="6:6" ht="15.75" customHeight="1" x14ac:dyDescent="0.2">
      <c r="F908" s="67"/>
    </row>
    <row r="909" spans="6:6" ht="15.75" customHeight="1" x14ac:dyDescent="0.2">
      <c r="F909" s="67"/>
    </row>
    <row r="910" spans="6:6" ht="15.75" customHeight="1" x14ac:dyDescent="0.2">
      <c r="F910" s="67"/>
    </row>
    <row r="911" spans="6:6" ht="15.75" customHeight="1" x14ac:dyDescent="0.2">
      <c r="F911" s="67"/>
    </row>
    <row r="912" spans="6:6" ht="15.75" customHeight="1" x14ac:dyDescent="0.2">
      <c r="F912" s="67"/>
    </row>
    <row r="913" spans="6:6" ht="15.75" customHeight="1" x14ac:dyDescent="0.2">
      <c r="F913" s="67"/>
    </row>
    <row r="914" spans="6:6" ht="15.75" customHeight="1" x14ac:dyDescent="0.2">
      <c r="F914" s="67"/>
    </row>
    <row r="915" spans="6:6" ht="15.75" customHeight="1" x14ac:dyDescent="0.2">
      <c r="F915" s="67"/>
    </row>
    <row r="916" spans="6:6" ht="15.75" customHeight="1" x14ac:dyDescent="0.2">
      <c r="F916" s="67"/>
    </row>
    <row r="917" spans="6:6" ht="15.75" customHeight="1" x14ac:dyDescent="0.2">
      <c r="F917" s="67"/>
    </row>
    <row r="918" spans="6:6" ht="15.75" customHeight="1" x14ac:dyDescent="0.2">
      <c r="F918" s="67"/>
    </row>
    <row r="919" spans="6:6" ht="15.75" customHeight="1" x14ac:dyDescent="0.2">
      <c r="F919" s="67"/>
    </row>
    <row r="920" spans="6:6" ht="15.75" customHeight="1" x14ac:dyDescent="0.2">
      <c r="F920" s="67"/>
    </row>
    <row r="921" spans="6:6" ht="15.75" customHeight="1" x14ac:dyDescent="0.2">
      <c r="F921" s="67"/>
    </row>
    <row r="922" spans="6:6" ht="15.75" customHeight="1" x14ac:dyDescent="0.2">
      <c r="F922" s="67"/>
    </row>
    <row r="923" spans="6:6" ht="15.75" customHeight="1" x14ac:dyDescent="0.2">
      <c r="F923" s="67"/>
    </row>
    <row r="924" spans="6:6" ht="15.75" customHeight="1" x14ac:dyDescent="0.2">
      <c r="F924" s="67"/>
    </row>
    <row r="925" spans="6:6" ht="15.75" customHeight="1" x14ac:dyDescent="0.2">
      <c r="F925" s="67"/>
    </row>
    <row r="926" spans="6:6" ht="15.75" customHeight="1" x14ac:dyDescent="0.2">
      <c r="F926" s="67"/>
    </row>
    <row r="927" spans="6:6" ht="15.75" customHeight="1" x14ac:dyDescent="0.2">
      <c r="F927" s="67"/>
    </row>
    <row r="928" spans="6:6" ht="15.75" customHeight="1" x14ac:dyDescent="0.2">
      <c r="F928" s="67"/>
    </row>
    <row r="929" spans="6:6" ht="15.75" customHeight="1" x14ac:dyDescent="0.2">
      <c r="F929" s="67"/>
    </row>
    <row r="930" spans="6:6" ht="15.75" customHeight="1" x14ac:dyDescent="0.2">
      <c r="F930" s="67"/>
    </row>
    <row r="931" spans="6:6" ht="15.75" customHeight="1" x14ac:dyDescent="0.2">
      <c r="F931" s="67"/>
    </row>
    <row r="932" spans="6:6" ht="15.75" customHeight="1" x14ac:dyDescent="0.2">
      <c r="F932" s="67"/>
    </row>
    <row r="933" spans="6:6" ht="15.75" customHeight="1" x14ac:dyDescent="0.2">
      <c r="F933" s="67"/>
    </row>
    <row r="934" spans="6:6" ht="15.75" customHeight="1" x14ac:dyDescent="0.2">
      <c r="F934" s="67"/>
    </row>
    <row r="935" spans="6:6" ht="15.75" customHeight="1" x14ac:dyDescent="0.2">
      <c r="F935" s="67"/>
    </row>
    <row r="936" spans="6:6" ht="15.75" customHeight="1" x14ac:dyDescent="0.2">
      <c r="F936" s="67"/>
    </row>
    <row r="937" spans="6:6" ht="15.75" customHeight="1" x14ac:dyDescent="0.2">
      <c r="F937" s="67"/>
    </row>
    <row r="938" spans="6:6" ht="15.75" customHeight="1" x14ac:dyDescent="0.2">
      <c r="F938" s="67"/>
    </row>
    <row r="939" spans="6:6" ht="15.75" customHeight="1" x14ac:dyDescent="0.2">
      <c r="F939" s="67"/>
    </row>
    <row r="940" spans="6:6" ht="15.75" customHeight="1" x14ac:dyDescent="0.2">
      <c r="F940" s="67"/>
    </row>
    <row r="941" spans="6:6" ht="15.75" customHeight="1" x14ac:dyDescent="0.2">
      <c r="F941" s="67"/>
    </row>
    <row r="942" spans="6:6" ht="15.75" customHeight="1" x14ac:dyDescent="0.2">
      <c r="F942" s="67"/>
    </row>
    <row r="943" spans="6:6" ht="15.75" customHeight="1" x14ac:dyDescent="0.2">
      <c r="F943" s="67"/>
    </row>
    <row r="944" spans="6:6" ht="15.75" customHeight="1" x14ac:dyDescent="0.2">
      <c r="F944" s="67"/>
    </row>
    <row r="945" spans="6:6" ht="15.75" customHeight="1" x14ac:dyDescent="0.2">
      <c r="F945" s="67"/>
    </row>
    <row r="946" spans="6:6" ht="15.75" customHeight="1" x14ac:dyDescent="0.2">
      <c r="F946" s="67"/>
    </row>
    <row r="947" spans="6:6" ht="15.75" customHeight="1" x14ac:dyDescent="0.2">
      <c r="F947" s="67"/>
    </row>
    <row r="948" spans="6:6" ht="15.75" customHeight="1" x14ac:dyDescent="0.2">
      <c r="F948" s="67"/>
    </row>
    <row r="949" spans="6:6" ht="15.75" customHeight="1" x14ac:dyDescent="0.2">
      <c r="F949" s="67"/>
    </row>
    <row r="950" spans="6:6" ht="15.75" customHeight="1" x14ac:dyDescent="0.2">
      <c r="F950" s="67"/>
    </row>
    <row r="951" spans="6:6" ht="15.75" customHeight="1" x14ac:dyDescent="0.2">
      <c r="F951" s="67"/>
    </row>
    <row r="952" spans="6:6" ht="15.75" customHeight="1" x14ac:dyDescent="0.2">
      <c r="F952" s="67"/>
    </row>
    <row r="953" spans="6:6" ht="15.75" customHeight="1" x14ac:dyDescent="0.2">
      <c r="F953" s="67"/>
    </row>
    <row r="954" spans="6:6" ht="15.75" customHeight="1" x14ac:dyDescent="0.2">
      <c r="F954" s="67"/>
    </row>
    <row r="955" spans="6:6" ht="15.75" customHeight="1" x14ac:dyDescent="0.2">
      <c r="F955" s="67"/>
    </row>
    <row r="956" spans="6:6" ht="15.75" customHeight="1" x14ac:dyDescent="0.2">
      <c r="F956" s="67"/>
    </row>
    <row r="957" spans="6:6" ht="15.75" customHeight="1" x14ac:dyDescent="0.2">
      <c r="F957" s="67"/>
    </row>
    <row r="958" spans="6:6" ht="15.75" customHeight="1" x14ac:dyDescent="0.2">
      <c r="F958" s="67"/>
    </row>
    <row r="959" spans="6:6" ht="15.75" customHeight="1" x14ac:dyDescent="0.2">
      <c r="F959" s="67"/>
    </row>
    <row r="960" spans="6:6" ht="15.75" customHeight="1" x14ac:dyDescent="0.2">
      <c r="F960" s="67"/>
    </row>
    <row r="961" spans="6:6" ht="15.75" customHeight="1" x14ac:dyDescent="0.2">
      <c r="F961" s="67"/>
    </row>
    <row r="962" spans="6:6" ht="15.75" customHeight="1" x14ac:dyDescent="0.2">
      <c r="F962" s="67"/>
    </row>
    <row r="963" spans="6:6" ht="15.75" customHeight="1" x14ac:dyDescent="0.2">
      <c r="F963" s="67"/>
    </row>
    <row r="964" spans="6:6" ht="15.75" customHeight="1" x14ac:dyDescent="0.2">
      <c r="F964" s="67"/>
    </row>
    <row r="965" spans="6:6" ht="15.75" customHeight="1" x14ac:dyDescent="0.2">
      <c r="F965" s="67"/>
    </row>
    <row r="966" spans="6:6" ht="15.75" customHeight="1" x14ac:dyDescent="0.2">
      <c r="F966" s="67"/>
    </row>
    <row r="967" spans="6:6" ht="15.75" customHeight="1" x14ac:dyDescent="0.2">
      <c r="F967" s="67"/>
    </row>
    <row r="968" spans="6:6" ht="15.75" customHeight="1" x14ac:dyDescent="0.2">
      <c r="F968" s="67"/>
    </row>
    <row r="969" spans="6:6" ht="15.75" customHeight="1" x14ac:dyDescent="0.2">
      <c r="F969" s="67"/>
    </row>
    <row r="970" spans="6:6" ht="15.75" customHeight="1" x14ac:dyDescent="0.2">
      <c r="F970" s="67"/>
    </row>
    <row r="971" spans="6:6" ht="15.75" customHeight="1" x14ac:dyDescent="0.2">
      <c r="F971" s="67"/>
    </row>
    <row r="972" spans="6:6" ht="15.75" customHeight="1" x14ac:dyDescent="0.2">
      <c r="F972" s="67"/>
    </row>
    <row r="973" spans="6:6" ht="15.75" customHeight="1" x14ac:dyDescent="0.2">
      <c r="F973" s="67"/>
    </row>
    <row r="974" spans="6:6" ht="15.75" customHeight="1" x14ac:dyDescent="0.2">
      <c r="F974" s="67"/>
    </row>
    <row r="975" spans="6:6" ht="15.75" customHeight="1" x14ac:dyDescent="0.2">
      <c r="F975" s="67"/>
    </row>
    <row r="976" spans="6:6" ht="15.75" customHeight="1" x14ac:dyDescent="0.2">
      <c r="F976" s="67"/>
    </row>
    <row r="977" spans="6:6" ht="15.75" customHeight="1" x14ac:dyDescent="0.2">
      <c r="F977" s="67"/>
    </row>
    <row r="978" spans="6:6" ht="15.75" customHeight="1" x14ac:dyDescent="0.2">
      <c r="F978" s="67"/>
    </row>
    <row r="979" spans="6:6" ht="15.75" customHeight="1" x14ac:dyDescent="0.2">
      <c r="F979" s="67"/>
    </row>
    <row r="980" spans="6:6" ht="15.75" customHeight="1" x14ac:dyDescent="0.2">
      <c r="F980" s="67"/>
    </row>
    <row r="981" spans="6:6" ht="15.75" customHeight="1" x14ac:dyDescent="0.2">
      <c r="F981" s="67"/>
    </row>
    <row r="982" spans="6:6" ht="15.75" customHeight="1" x14ac:dyDescent="0.2">
      <c r="F982" s="67"/>
    </row>
    <row r="983" spans="6:6" ht="15.75" customHeight="1" x14ac:dyDescent="0.2">
      <c r="F983" s="67"/>
    </row>
    <row r="984" spans="6:6" ht="15.75" customHeight="1" x14ac:dyDescent="0.2">
      <c r="F984" s="67"/>
    </row>
    <row r="985" spans="6:6" ht="15.75" customHeight="1" x14ac:dyDescent="0.2">
      <c r="F985" s="67"/>
    </row>
    <row r="986" spans="6:6" ht="15.75" customHeight="1" x14ac:dyDescent="0.2">
      <c r="F986" s="67"/>
    </row>
    <row r="987" spans="6:6" ht="15.75" customHeight="1" x14ac:dyDescent="0.2">
      <c r="F987" s="67"/>
    </row>
    <row r="988" spans="6:6" ht="15.75" customHeight="1" x14ac:dyDescent="0.2">
      <c r="F988" s="67"/>
    </row>
    <row r="989" spans="6:6" ht="15.75" customHeight="1" x14ac:dyDescent="0.2">
      <c r="F989" s="67"/>
    </row>
    <row r="990" spans="6:6" ht="15.75" customHeight="1" x14ac:dyDescent="0.2">
      <c r="F990" s="67"/>
    </row>
    <row r="991" spans="6:6" ht="15.75" customHeight="1" x14ac:dyDescent="0.2">
      <c r="F991" s="67"/>
    </row>
    <row r="992" spans="6:6" ht="15.75" customHeight="1" x14ac:dyDescent="0.2">
      <c r="F992" s="67"/>
    </row>
    <row r="993" spans="6:6" ht="15.75" customHeight="1" x14ac:dyDescent="0.2">
      <c r="F993" s="67"/>
    </row>
    <row r="994" spans="6:6" ht="15.75" customHeight="1" x14ac:dyDescent="0.2">
      <c r="F994" s="67"/>
    </row>
    <row r="995" spans="6:6" ht="15.75" customHeight="1" x14ac:dyDescent="0.2">
      <c r="F995" s="67"/>
    </row>
    <row r="996" spans="6:6" ht="15.75" customHeight="1" x14ac:dyDescent="0.2">
      <c r="F996" s="67"/>
    </row>
    <row r="997" spans="6:6" ht="15.75" customHeight="1" x14ac:dyDescent="0.2">
      <c r="F997" s="67"/>
    </row>
    <row r="998" spans="6:6" ht="15.75" customHeight="1" x14ac:dyDescent="0.2">
      <c r="F998" s="67"/>
    </row>
    <row r="999" spans="6:6" ht="15.75" customHeight="1" x14ac:dyDescent="0.2">
      <c r="F999" s="67"/>
    </row>
    <row r="1000" spans="6:6" ht="15.75" customHeight="1" x14ac:dyDescent="0.2">
      <c r="F1000" s="67"/>
    </row>
  </sheetData>
  <sheetProtection algorithmName="SHA-512" hashValue="5xyf55B2hqz4T2rgRo11gRpqP/Gz+tOm5MAseYeEjIK4cRI2BKDOCRa+y1TxuvM8fK2BxSK2BC5PmF7lrlqJNA==" saltValue="J6PoZdxXIUkKR8WeHnYP7A==" spinCount="100000" sheet="1" objects="1" scenarios="1"/>
  <protectedRanges>
    <protectedRange sqref="C4" name="Range1"/>
    <protectedRange sqref="C5" name="Range2"/>
  </protectedRanges>
  <mergeCells count="14">
    <mergeCell ref="C19:D19"/>
    <mergeCell ref="A1:E1"/>
    <mergeCell ref="A2:A29"/>
    <mergeCell ref="B2:D2"/>
    <mergeCell ref="E2:E29"/>
    <mergeCell ref="C8:D8"/>
    <mergeCell ref="B11:D11"/>
    <mergeCell ref="B13:D13"/>
    <mergeCell ref="B29:D29"/>
    <mergeCell ref="C14:D14"/>
    <mergeCell ref="C15:D15"/>
    <mergeCell ref="C16:D16"/>
    <mergeCell ref="C17:D17"/>
    <mergeCell ref="C18:D18"/>
  </mergeCells>
  <conditionalFormatting sqref="C4">
    <cfRule type="cellIs" dxfId="0" priority="1" operator="greaterThan">
      <formula>180</formula>
    </cfRule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AD1000"/>
  <sheetViews>
    <sheetView topLeftCell="B5" workbookViewId="0">
      <selection activeCell="G12" sqref="G12"/>
    </sheetView>
  </sheetViews>
  <sheetFormatPr defaultColWidth="14.390625" defaultRowHeight="15" customHeight="1" x14ac:dyDescent="0.2"/>
  <cols>
    <col min="1" max="1" width="3.359375" style="26" customWidth="1"/>
    <col min="2" max="2" width="32.6875" style="26" customWidth="1"/>
    <col min="3" max="3" width="17.890625" style="26" customWidth="1"/>
    <col min="4" max="4" width="14.390625" style="26" customWidth="1"/>
    <col min="5" max="5" width="16.6796875" style="26" customWidth="1"/>
    <col min="6" max="6" width="37.80078125" style="26" customWidth="1"/>
    <col min="7" max="7" width="18.83203125" style="26" customWidth="1"/>
    <col min="8" max="8" width="24.48046875" style="26" customWidth="1"/>
    <col min="9" max="9" width="4.4375" style="26" customWidth="1"/>
    <col min="10" max="10" width="78.6953125" style="26" customWidth="1"/>
    <col min="11" max="30" width="8.875" style="26" customWidth="1"/>
    <col min="31" max="16384" width="14.390625" style="26"/>
  </cols>
  <sheetData>
    <row r="1" spans="1:3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x14ac:dyDescent="0.2">
      <c r="A2" s="203" t="s">
        <v>413</v>
      </c>
      <c r="B2" s="204"/>
      <c r="C2" s="204"/>
      <c r="D2" s="204"/>
      <c r="E2" s="204"/>
      <c r="F2" s="204"/>
      <c r="G2" s="204"/>
      <c r="H2" s="204"/>
      <c r="I2" s="205"/>
      <c r="J2" s="1"/>
      <c r="K2" s="1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 spans="1:30" x14ac:dyDescent="0.2">
      <c r="A3" s="206"/>
      <c r="B3" s="207"/>
      <c r="C3" s="207"/>
      <c r="D3" s="207"/>
      <c r="E3" s="207"/>
      <c r="F3" s="207"/>
      <c r="G3" s="207"/>
      <c r="H3" s="207"/>
      <c r="I3" s="208"/>
      <c r="J3" s="1"/>
      <c r="K3" s="1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</row>
    <row r="4" spans="1:30" x14ac:dyDescent="0.2">
      <c r="A4" s="209"/>
      <c r="B4" s="210"/>
      <c r="C4" s="210"/>
      <c r="D4" s="210"/>
      <c r="E4" s="210"/>
      <c r="F4" s="210"/>
      <c r="G4" s="210"/>
      <c r="H4" s="210"/>
      <c r="I4" s="211"/>
      <c r="J4" s="1"/>
      <c r="K4" s="1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</row>
    <row r="5" spans="1:30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</row>
    <row r="6" spans="1:30" x14ac:dyDescent="0.2">
      <c r="A6" s="212"/>
      <c r="B6" s="204"/>
      <c r="C6" s="204"/>
      <c r="D6" s="204"/>
      <c r="E6" s="204"/>
      <c r="F6" s="204"/>
      <c r="G6" s="204"/>
      <c r="H6" s="204"/>
      <c r="I6" s="205"/>
      <c r="J6" s="1"/>
      <c r="K6" s="1"/>
      <c r="L6" s="1"/>
      <c r="M6" s="1"/>
      <c r="N6" s="1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</row>
    <row r="7" spans="1:30" x14ac:dyDescent="0.2">
      <c r="A7" s="2"/>
      <c r="B7" s="213" t="s">
        <v>414</v>
      </c>
      <c r="C7" s="214"/>
      <c r="D7" s="214"/>
      <c r="E7" s="214"/>
      <c r="F7" s="214"/>
      <c r="G7" s="214"/>
      <c r="H7" s="215"/>
      <c r="I7" s="3"/>
      <c r="J7" s="1"/>
      <c r="K7" s="1"/>
      <c r="L7" s="1"/>
      <c r="M7" s="1"/>
      <c r="N7" s="1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</row>
    <row r="8" spans="1:30" x14ac:dyDescent="0.2">
      <c r="A8" s="2"/>
      <c r="B8" s="4" t="s">
        <v>415</v>
      </c>
      <c r="C8" s="30">
        <v>10</v>
      </c>
      <c r="D8" s="5"/>
      <c r="E8" s="5"/>
      <c r="F8" s="5"/>
      <c r="G8" s="5"/>
      <c r="H8" s="5"/>
      <c r="I8" s="3"/>
      <c r="J8" s="1"/>
      <c r="K8" s="1"/>
      <c r="L8" s="1"/>
      <c r="M8" s="1"/>
      <c r="N8" s="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 spans="1:30" x14ac:dyDescent="0.2">
      <c r="A9" s="2"/>
      <c r="B9" s="4" t="s">
        <v>416</v>
      </c>
      <c r="C9" s="30">
        <v>20</v>
      </c>
      <c r="D9" s="5"/>
      <c r="E9" s="5"/>
      <c r="F9" s="5"/>
      <c r="G9" s="5"/>
      <c r="H9" s="5"/>
      <c r="I9" s="3"/>
      <c r="J9" s="1"/>
      <c r="K9" s="1"/>
      <c r="L9" s="1"/>
      <c r="M9" s="1"/>
      <c r="N9" s="1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</row>
    <row r="10" spans="1:30" x14ac:dyDescent="0.2">
      <c r="A10" s="2"/>
      <c r="B10" s="6"/>
      <c r="C10" s="6"/>
      <c r="D10" s="6"/>
      <c r="E10" s="6"/>
      <c r="F10" s="6"/>
      <c r="G10" s="6"/>
      <c r="H10" s="6"/>
      <c r="I10" s="3"/>
      <c r="J10" s="1"/>
      <c r="K10" s="1"/>
      <c r="L10" s="1"/>
      <c r="M10" s="1"/>
      <c r="N10" s="1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</row>
    <row r="11" spans="1:30" x14ac:dyDescent="0.2">
      <c r="A11" s="2"/>
      <c r="B11" s="7" t="s">
        <v>417</v>
      </c>
      <c r="C11" s="7" t="s">
        <v>418</v>
      </c>
      <c r="D11" s="7" t="s">
        <v>419</v>
      </c>
      <c r="E11" s="7" t="s">
        <v>420</v>
      </c>
      <c r="F11" s="8" t="s">
        <v>421</v>
      </c>
      <c r="G11" s="7" t="s">
        <v>422</v>
      </c>
      <c r="H11" s="7" t="s">
        <v>423</v>
      </c>
      <c r="I11" s="3"/>
      <c r="J11" s="1"/>
      <c r="K11" s="1"/>
      <c r="L11" s="1"/>
      <c r="M11" s="1"/>
      <c r="N11" s="1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</row>
    <row r="12" spans="1:30" x14ac:dyDescent="0.2">
      <c r="A12" s="2"/>
      <c r="B12" s="9" t="s">
        <v>424</v>
      </c>
      <c r="C12" s="9" t="s">
        <v>425</v>
      </c>
      <c r="D12" s="9">
        <v>10</v>
      </c>
      <c r="E12" s="9">
        <v>60</v>
      </c>
      <c r="F12" s="10" t="str">
        <f>ROUND((12.5*D12*1000)/(D12+E12), 2) &amp; " MCG/ML | VOLUME: " &amp; (D12+E12) &amp; " ML"</f>
        <v>1785,71 MCG/ML | VOLUME: 70 ML</v>
      </c>
      <c r="G12" s="9" t="str">
        <f>"BIC: " &amp; ROUND((C8*C9*60)/ROUND((12.5*D12*1000)/(D12+E12), 2), 2) &amp; " ML/HORA"</f>
        <v>BIC: 6,72 ML/HORA</v>
      </c>
      <c r="H12" s="9" t="s">
        <v>426</v>
      </c>
      <c r="I12" s="3"/>
      <c r="J12" s="1"/>
      <c r="K12" s="1"/>
      <c r="L12" s="1"/>
      <c r="M12" s="1"/>
      <c r="N12" s="1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</row>
    <row r="13" spans="1:30" x14ac:dyDescent="0.2">
      <c r="A13" s="2"/>
      <c r="B13" s="9" t="s">
        <v>427</v>
      </c>
      <c r="C13" s="9" t="s">
        <v>428</v>
      </c>
      <c r="D13" s="9">
        <v>20</v>
      </c>
      <c r="E13" s="9">
        <v>30</v>
      </c>
      <c r="F13" s="10" t="str">
        <f>ROUND((5*D13*1000)/(D13+E13), 2) &amp; " MCG/ML | VOLUME: " &amp; (D13+E13) &amp; " ML"</f>
        <v>2000 MCG/ML | VOLUME: 50 ML</v>
      </c>
      <c r="G13" s="9" t="str">
        <f>"BIC: " &amp; ROUND((C8*C9*60)/(ROUND((5*D13*1000)/(D13+E13), 2)), 2) &amp; " ML/HORA"</f>
        <v>BIC: 6 ML/HORA</v>
      </c>
      <c r="H13" s="9" t="s">
        <v>429</v>
      </c>
      <c r="I13" s="3"/>
      <c r="J13" s="1"/>
      <c r="K13" s="1"/>
      <c r="L13" s="1"/>
      <c r="M13" s="1"/>
      <c r="N13" s="1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</row>
    <row r="14" spans="1:30" ht="27.75" x14ac:dyDescent="0.2">
      <c r="A14" s="2"/>
      <c r="B14" s="9" t="s">
        <v>430</v>
      </c>
      <c r="C14" s="9" t="s">
        <v>431</v>
      </c>
      <c r="D14" s="9">
        <v>1</v>
      </c>
      <c r="E14" s="9">
        <v>30</v>
      </c>
      <c r="F14" s="10" t="str">
        <f>ROUND((1*D14*1000)/(D14+E14), 2) &amp; " MCG/ML | VOLUME: " &amp; (D14+E14) &amp; " ML"</f>
        <v>32,26 MCG/ML | VOLUME: 31 ML</v>
      </c>
      <c r="G14" s="9" t="str">
        <f>"BIC: " &amp; ROUND((C8*IF((C8*C9)&lt;=0.3,C9,0.3)*60)/(ROUND((1*D14*1000)/(D14+E14), 2)), 2) &amp; " ML/HORA"</f>
        <v>BIC: 5,58 ML/HORA</v>
      </c>
      <c r="H14" s="9" t="s">
        <v>432</v>
      </c>
      <c r="I14" s="3"/>
      <c r="J14" s="11" t="s">
        <v>433</v>
      </c>
      <c r="K14" s="1"/>
      <c r="L14" s="1"/>
      <c r="M14" s="1"/>
      <c r="N14" s="1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</row>
    <row r="15" spans="1:30" x14ac:dyDescent="0.2">
      <c r="A15" s="2"/>
      <c r="B15" s="9" t="s">
        <v>434</v>
      </c>
      <c r="C15" s="9" t="s">
        <v>435</v>
      </c>
      <c r="D15" s="9">
        <v>3</v>
      </c>
      <c r="E15" s="9">
        <v>45</v>
      </c>
      <c r="F15" s="10" t="str">
        <f>ROUND((1*D15*1000)/(D15+E15), 2) &amp; " MCG/ML | VOLUME: " &amp; (D15+E15) &amp; " ML"</f>
        <v>62,5 MCG/ML | VOLUME: 48 ML</v>
      </c>
      <c r="G15" s="9" t="str">
        <f>"BIC: " &amp; ROUND((C8*C9*60)/(ROUND((10*D15*1000)/(D15+E15), 2)), 2) &amp; " ML/HORA"</f>
        <v>BIC: 19,2 ML/HORA</v>
      </c>
      <c r="H15" s="9" t="s">
        <v>436</v>
      </c>
      <c r="I15" s="3"/>
      <c r="J15" s="1"/>
      <c r="K15" s="1"/>
      <c r="L15" s="1"/>
      <c r="M15" s="1"/>
      <c r="N15" s="1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</row>
    <row r="16" spans="1:30" x14ac:dyDescent="0.2">
      <c r="A16" s="2"/>
      <c r="B16" s="9" t="s">
        <v>437</v>
      </c>
      <c r="C16" s="9" t="s">
        <v>431</v>
      </c>
      <c r="D16" s="9">
        <v>4</v>
      </c>
      <c r="E16" s="9">
        <v>60</v>
      </c>
      <c r="F16" s="10" t="str">
        <f>ROUND((1*D16*1000)/(D16+E16), 2) &amp; " MCG/ML | VOLUME: " &amp; (D16+E16) &amp; " ML"</f>
        <v>62,5 MCG/ML | VOLUME: 64 ML</v>
      </c>
      <c r="G16" s="9" t="str">
        <f>"BIC: " &amp; ROUND((C8*C9*60)/(ROUND((1*D16*1000)/(D16+E16), 2)), 2) &amp; " ML/HORA"</f>
        <v>BIC: 192 ML/HORA</v>
      </c>
      <c r="H16" s="9" t="s">
        <v>438</v>
      </c>
      <c r="I16" s="3"/>
      <c r="J16" s="1"/>
      <c r="K16" s="1"/>
      <c r="L16" s="1"/>
      <c r="M16" s="1"/>
      <c r="N16" s="1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</row>
    <row r="17" spans="1:30" x14ac:dyDescent="0.2">
      <c r="A17" s="2"/>
      <c r="B17" s="9" t="s">
        <v>439</v>
      </c>
      <c r="C17" s="9" t="s">
        <v>440</v>
      </c>
      <c r="D17" s="9">
        <v>10</v>
      </c>
      <c r="E17" s="9">
        <v>40</v>
      </c>
      <c r="F17" s="10" t="str">
        <f t="shared" ref="F17" si="0">ROUND((1*D17*1000)/(D17+E17), 2) &amp; " MCG/ML | VOLUME: " &amp; (D17+E17) &amp; " ML"</f>
        <v>200 MCG/ML | VOLUME: 50 ML</v>
      </c>
      <c r="G17" s="9" t="str">
        <f>"BIC: " &amp; ROUND((C8*C9*60)/(ROUND((1*D17*1000)/(D17+E17), 2)), 2) &amp; " ML/HORA"</f>
        <v>BIC: 60 ML/HORA</v>
      </c>
      <c r="H17" s="9" t="s">
        <v>441</v>
      </c>
      <c r="I17" s="3"/>
      <c r="J17" s="11" t="s">
        <v>442</v>
      </c>
      <c r="K17" s="1"/>
      <c r="L17" s="1"/>
      <c r="M17" s="1"/>
      <c r="N17" s="1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</row>
    <row r="18" spans="1:30" x14ac:dyDescent="0.2">
      <c r="A18" s="2"/>
      <c r="B18" s="12" t="s">
        <v>443</v>
      </c>
      <c r="C18" s="12" t="s">
        <v>444</v>
      </c>
      <c r="D18" s="12">
        <v>3</v>
      </c>
      <c r="E18" s="12">
        <v>47</v>
      </c>
      <c r="F18" s="10" t="str">
        <f>ROUND((50*D18)/(D18+E18), 2) &amp; " MG/ML | VOLUME: " &amp; (D18+E18) &amp; " ML"</f>
        <v>3 MG/ML | VOLUME: 50 ML</v>
      </c>
      <c r="G18" s="9" t="str">
        <f>"BIC: " &amp; ROUND((C8*C9*60)/(ROUND((50*D18*1000)/(D18+E18), 2)), 2) &amp; " ML/HORA"</f>
        <v>BIC: 4 ML/HORA</v>
      </c>
      <c r="H18" s="12" t="s">
        <v>445</v>
      </c>
      <c r="I18" s="3"/>
      <c r="J18" s="11" t="s">
        <v>446</v>
      </c>
      <c r="K18" s="1"/>
      <c r="L18" s="1"/>
      <c r="M18" s="1"/>
      <c r="N18" s="1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</row>
    <row r="19" spans="1:30" x14ac:dyDescent="0.2">
      <c r="A19" s="2"/>
      <c r="B19" s="9" t="s">
        <v>447</v>
      </c>
      <c r="C19" s="9" t="s">
        <v>448</v>
      </c>
      <c r="D19" s="9">
        <v>1</v>
      </c>
      <c r="E19" s="9">
        <v>49</v>
      </c>
      <c r="F19" s="10" t="str">
        <f>ROUND((20*D19)/(D19+E19), 2) &amp; " U/ML | VOLUME: " &amp; (D19+E19) &amp; " ML"</f>
        <v>0,4 U/ML | VOLUME: 50 ML</v>
      </c>
      <c r="G19" s="9" t="str">
        <f>"BIC: " &amp; ROUND((C8*C9*60)/(ROUND((20*D19*1000)/(D19+E19), 2)), 2) &amp; " ML/HORA"</f>
        <v>BIC: 30 ML/HORA</v>
      </c>
      <c r="H19" s="9" t="s">
        <v>449</v>
      </c>
      <c r="I19" s="3"/>
      <c r="J19" s="11" t="s">
        <v>450</v>
      </c>
      <c r="K19" s="1"/>
      <c r="L19" s="1"/>
      <c r="M19" s="1"/>
      <c r="N19" s="1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</row>
    <row r="20" spans="1:30" x14ac:dyDescent="0.2">
      <c r="A20" s="2"/>
      <c r="B20" s="9" t="s">
        <v>451</v>
      </c>
      <c r="C20" s="9" t="s">
        <v>452</v>
      </c>
      <c r="D20" s="9">
        <v>1</v>
      </c>
      <c r="E20" s="9">
        <v>40</v>
      </c>
      <c r="F20" s="10" t="str">
        <f>ROUND((25*D20)/(D20+E20), 2) &amp; " MG/ML | VOLUME: " &amp; (D20+E20) &amp; " ML"</f>
        <v>0,61 MG/ML | VOLUME: 41 ML</v>
      </c>
      <c r="G20" s="9" t="str">
        <f>"BIC: " &amp; ROUND((C8*C9*60)/(ROUND((25*D20*1000)/(D20+E20), 2)), 2) &amp; " ML/HORA"</f>
        <v>BIC: 19,68 ML/HORA</v>
      </c>
      <c r="H20" s="9" t="s">
        <v>453</v>
      </c>
      <c r="I20" s="3"/>
      <c r="J20" s="11" t="s">
        <v>454</v>
      </c>
      <c r="K20" s="1"/>
      <c r="L20" s="1"/>
      <c r="M20" s="1"/>
      <c r="N20" s="1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</row>
    <row r="21" spans="1:30" ht="15.75" customHeight="1" x14ac:dyDescent="0.2">
      <c r="A21" s="2"/>
      <c r="B21" s="6"/>
      <c r="C21" s="6"/>
      <c r="D21" s="6"/>
      <c r="E21" s="6"/>
      <c r="F21" s="6"/>
      <c r="G21" s="6"/>
      <c r="H21" s="6"/>
      <c r="I21" s="3"/>
      <c r="J21" s="1"/>
      <c r="K21" s="1"/>
      <c r="L21" s="1"/>
      <c r="M21" s="1"/>
      <c r="N21" s="1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</row>
    <row r="22" spans="1:30" ht="15.75" customHeight="1" x14ac:dyDescent="0.2">
      <c r="A22" s="2"/>
      <c r="B22" s="213" t="s">
        <v>455</v>
      </c>
      <c r="C22" s="214"/>
      <c r="D22" s="214"/>
      <c r="E22" s="214"/>
      <c r="F22" s="214"/>
      <c r="G22" s="214"/>
      <c r="H22" s="215"/>
      <c r="I22" s="3"/>
      <c r="J22" s="1"/>
      <c r="K22" s="1"/>
      <c r="L22" s="1"/>
      <c r="M22" s="1"/>
      <c r="N22" s="1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</row>
    <row r="23" spans="1:30" ht="15.75" customHeight="1" x14ac:dyDescent="0.2">
      <c r="A23" s="2"/>
      <c r="B23" s="6"/>
      <c r="C23" s="6"/>
      <c r="D23" s="6"/>
      <c r="E23" s="6"/>
      <c r="F23" s="6"/>
      <c r="G23" s="6"/>
      <c r="H23" s="6"/>
      <c r="I23" s="3"/>
      <c r="J23" s="1"/>
      <c r="K23" s="1"/>
      <c r="L23" s="1"/>
      <c r="M23" s="1"/>
      <c r="N23" s="1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</row>
    <row r="24" spans="1:30" ht="15.75" customHeight="1" x14ac:dyDescent="0.2">
      <c r="A24" s="90"/>
      <c r="B24" s="7" t="s">
        <v>417</v>
      </c>
      <c r="C24" s="7" t="s">
        <v>418</v>
      </c>
      <c r="D24" s="7" t="s">
        <v>419</v>
      </c>
      <c r="E24" s="7" t="s">
        <v>420</v>
      </c>
      <c r="F24" s="8" t="s">
        <v>421</v>
      </c>
      <c r="G24" s="7" t="s">
        <v>422</v>
      </c>
      <c r="H24" s="7" t="s">
        <v>423</v>
      </c>
      <c r="I24" s="91"/>
      <c r="J24" s="1"/>
      <c r="K24" s="1"/>
      <c r="L24" s="1"/>
      <c r="M24" s="1"/>
      <c r="N24" s="1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</row>
    <row r="25" spans="1:30" ht="15.75" customHeight="1" x14ac:dyDescent="0.2">
      <c r="A25" s="2"/>
      <c r="B25" s="9" t="s">
        <v>456</v>
      </c>
      <c r="C25" s="9" t="s">
        <v>457</v>
      </c>
      <c r="D25" s="9">
        <v>10</v>
      </c>
      <c r="E25" s="9">
        <v>40</v>
      </c>
      <c r="F25" s="9" t="str">
        <f t="shared" ref="F25:F26" si="1">ROUND((50*D25)/(D25+E25), 2) &amp; " MG/ML | VOLUME: " &amp; (D25+E25) &amp; " ML"</f>
        <v>10 MG/ML | VOLUME: 50 ML</v>
      </c>
      <c r="G25" s="9" t="str">
        <f>"BIC: " &amp; ROUND((C8*C9)/(ROUND((0.05*D25*1000)/(D25+E25), 2)), 2) &amp; " ML/HORA"</f>
        <v>BIC: 20 ML/HORA</v>
      </c>
      <c r="H25" s="9" t="s">
        <v>458</v>
      </c>
      <c r="I25" s="3"/>
      <c r="J25" s="11" t="s">
        <v>459</v>
      </c>
      <c r="K25" s="1"/>
      <c r="L25" s="1"/>
      <c r="M25" s="1"/>
      <c r="N25" s="1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</row>
    <row r="26" spans="1:30" ht="15.75" customHeight="1" x14ac:dyDescent="0.2">
      <c r="A26" s="2"/>
      <c r="B26" s="9" t="s">
        <v>456</v>
      </c>
      <c r="C26" s="9" t="s">
        <v>457</v>
      </c>
      <c r="D26" s="9">
        <v>10</v>
      </c>
      <c r="E26" s="9">
        <v>30</v>
      </c>
      <c r="F26" s="9" t="str">
        <f t="shared" si="1"/>
        <v>12,5 MG/ML | VOLUME: 40 ML</v>
      </c>
      <c r="G26" s="9" t="str">
        <f>"BIC: " &amp; ROUND((C8*C9)/(ROUND((0.05*D26*1000)/(D26+E26), 2)), 2) &amp; " ML/HORA"</f>
        <v>BIC: 16 ML/HORA</v>
      </c>
      <c r="H26" s="9" t="s">
        <v>458</v>
      </c>
      <c r="I26" s="3"/>
      <c r="J26" s="11" t="s">
        <v>459</v>
      </c>
      <c r="K26" s="1"/>
      <c r="L26" s="1"/>
      <c r="M26" s="1"/>
      <c r="N26" s="1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</row>
    <row r="27" spans="1:30" ht="15.75" customHeight="1" x14ac:dyDescent="0.2">
      <c r="A27" s="2"/>
      <c r="B27" s="9" t="s">
        <v>460</v>
      </c>
      <c r="C27" s="9" t="s">
        <v>428</v>
      </c>
      <c r="D27" s="9">
        <v>10</v>
      </c>
      <c r="E27" s="9">
        <v>40</v>
      </c>
      <c r="F27" s="9" t="str">
        <f>ROUND((50*D27)/(D27+E27), 2) &amp; " MG/ML | VOLUME: " &amp; (D27+E27) &amp; " ML"</f>
        <v>10 MG/ML | VOLUME: 50 ML</v>
      </c>
      <c r="G27" s="9" t="str">
        <f>"BIC: " &amp; ROUND((C8*C9)/(ROUND((5*D27*1000)/(D27+E27), 2)), 2) &amp; " ML/HORA"</f>
        <v>BIC: 0,2 ML/HORA</v>
      </c>
      <c r="H27" s="9" t="s">
        <v>461</v>
      </c>
      <c r="I27" s="3"/>
      <c r="J27" s="11" t="s">
        <v>462</v>
      </c>
      <c r="K27" s="1"/>
      <c r="L27" s="1"/>
      <c r="M27" s="1"/>
      <c r="N27" s="1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spans="1:30" ht="15.75" customHeight="1" x14ac:dyDescent="0.2">
      <c r="A28" s="2"/>
      <c r="B28" s="9" t="s">
        <v>463</v>
      </c>
      <c r="C28" s="9" t="s">
        <v>444</v>
      </c>
      <c r="D28" s="9">
        <v>6</v>
      </c>
      <c r="E28" s="9">
        <v>54</v>
      </c>
      <c r="F28" s="9" t="str">
        <f>ROUND((50*D28)/(D28+E28), 2) &amp; " MG/ML | VOLUME: " &amp; (D28+E28) &amp; " ML"</f>
        <v>5 MG/ML | VOLUME: 60 ML</v>
      </c>
      <c r="G28" s="9" t="str">
        <f>"BIC: " &amp; ROUND((C8*C9)/(ROUND((50*D28*1000)/(D28+E28), 2)), 2) &amp; " ML/HORA"</f>
        <v>BIC: 0,04 ML/HORA</v>
      </c>
      <c r="H28" s="9" t="s">
        <v>464</v>
      </c>
      <c r="I28" s="3"/>
      <c r="J28" s="11" t="s">
        <v>465</v>
      </c>
      <c r="K28" s="1"/>
      <c r="L28" s="1"/>
      <c r="M28" s="1"/>
      <c r="N28" s="1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spans="1:30" ht="15.75" customHeight="1" x14ac:dyDescent="0.2">
      <c r="A29" s="2"/>
      <c r="B29" s="9" t="s">
        <v>466</v>
      </c>
      <c r="C29" s="9" t="s">
        <v>467</v>
      </c>
      <c r="D29" s="9">
        <v>2</v>
      </c>
      <c r="E29" s="9">
        <v>48</v>
      </c>
      <c r="F29" s="9" t="str">
        <f>ROUND((0.1*D29*1000)/(D29+E29), 2) &amp; " MCG/ML | VOLUME: " &amp; (D29+E29) &amp; " ML"</f>
        <v>4 MCG/ML | VOLUME: 50 ML</v>
      </c>
      <c r="G29" s="9" t="str">
        <f>"BIC: " &amp; ROUND((C8*C9)/(ROUND((0.1*D29*1000)/(D29+E29), 2)), 2) &amp; " ML/HORA"</f>
        <v>BIC: 50 ML/HORA</v>
      </c>
      <c r="H29" s="9" t="s">
        <v>468</v>
      </c>
      <c r="I29" s="3"/>
      <c r="J29" s="11" t="s">
        <v>469</v>
      </c>
      <c r="K29" s="1"/>
      <c r="L29" s="1"/>
      <c r="M29" s="1"/>
      <c r="N29" s="1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spans="1:30" ht="15.75" customHeight="1" x14ac:dyDescent="0.2">
      <c r="A30" s="2"/>
      <c r="B30" s="9" t="s">
        <v>470</v>
      </c>
      <c r="C30" s="9" t="s">
        <v>435</v>
      </c>
      <c r="D30" s="9">
        <v>1</v>
      </c>
      <c r="E30" s="9">
        <v>49</v>
      </c>
      <c r="F30" s="9" t="str">
        <f>ROUND((10*D30)/(D30+E30), 2) &amp; " MG/ML | VOLUME: " &amp; (D30+E30) &amp; " ML"</f>
        <v>0,2 MG/ML | VOLUME: 50 ML</v>
      </c>
      <c r="G30" s="9" t="str">
        <f>"BIC: " &amp; ROUND((C8*C9)/(ROUND((10*D30*1000)/(D30+E30), 2)), 2) &amp; " ML/HORA"</f>
        <v>BIC: 1 ML/HORA</v>
      </c>
      <c r="H30" s="9" t="s">
        <v>471</v>
      </c>
      <c r="I30" s="3"/>
      <c r="J30" s="11" t="s">
        <v>472</v>
      </c>
      <c r="K30" s="1"/>
      <c r="L30" s="1"/>
      <c r="M30" s="1"/>
      <c r="N30" s="1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spans="1:30" ht="15.75" customHeight="1" x14ac:dyDescent="0.2">
      <c r="A31" s="2"/>
      <c r="B31" s="9" t="s">
        <v>473</v>
      </c>
      <c r="C31" s="9" t="s">
        <v>474</v>
      </c>
      <c r="D31" s="9">
        <v>50</v>
      </c>
      <c r="E31" s="9">
        <v>50</v>
      </c>
      <c r="F31" s="9" t="str">
        <f>ROUND((10*D31)/(D31+E31), 2) &amp; " MG/ML | VOLUME: " &amp; (D31+E31) &amp; " ML"</f>
        <v>5 MG/ML | VOLUME: 100 ML</v>
      </c>
      <c r="G31" s="9" t="str">
        <f>"BIC: " &amp; ROUND((C8*C9*60)/(ROUND((20*D31*1000)/(D31+E31), 2)), 2) &amp; " ML/HORA"</f>
        <v>BIC: 1,2 ML/HORA</v>
      </c>
      <c r="H31" s="9" t="s">
        <v>475</v>
      </c>
      <c r="I31" s="3"/>
      <c r="J31" s="11" t="s">
        <v>476</v>
      </c>
      <c r="K31" s="1"/>
      <c r="L31" s="1"/>
      <c r="M31" s="1"/>
      <c r="N31" s="1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spans="1:30" ht="15.75" customHeight="1" x14ac:dyDescent="0.2">
      <c r="A32" s="2"/>
      <c r="B32" s="9" t="s">
        <v>477</v>
      </c>
      <c r="C32" s="9" t="s">
        <v>435</v>
      </c>
      <c r="D32" s="9">
        <v>20</v>
      </c>
      <c r="E32" s="9">
        <v>20</v>
      </c>
      <c r="F32" s="9" t="str">
        <f t="shared" ref="F32:F33" si="2">ROUND((10*D32)/(D32+E32), 2) &amp; " MG/ML | VOLUME: " &amp; (D32+E32) &amp; " ML"</f>
        <v>5 MG/ML | VOLUME: 40 ML</v>
      </c>
      <c r="G32" s="9" t="str">
        <f>"BIC: " &amp; ROUND((C8*C9*60)/(ROUND((10*D32*1000)/(D32+E32), 2)), 2) &amp; " ML/HORA"</f>
        <v>BIC: 2,4 ML/HORA</v>
      </c>
      <c r="H32" s="9" t="s">
        <v>475</v>
      </c>
      <c r="I32" s="3"/>
      <c r="J32" s="11" t="s">
        <v>478</v>
      </c>
      <c r="K32" s="1"/>
      <c r="L32" s="1"/>
      <c r="M32" s="1"/>
      <c r="N32" s="1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spans="1:30" ht="15.75" customHeight="1" x14ac:dyDescent="0.2">
      <c r="A33" s="2"/>
      <c r="B33" s="13" t="s">
        <v>479</v>
      </c>
      <c r="C33" s="13" t="s">
        <v>435</v>
      </c>
      <c r="D33" s="13">
        <v>10</v>
      </c>
      <c r="E33" s="13">
        <v>40</v>
      </c>
      <c r="F33" s="9" t="str">
        <f t="shared" si="2"/>
        <v>2 MG/ML | VOLUME: 50 ML</v>
      </c>
      <c r="G33" s="9" t="str">
        <f>"BIC: " &amp; ROUND((C8*C9*60)/(ROUND((10*D33*1000)/(D33+E33), 2)), 2) &amp; " ML/HORA"</f>
        <v>BIC: 6 ML/HORA</v>
      </c>
      <c r="H33" s="13" t="s">
        <v>480</v>
      </c>
      <c r="I33" s="3"/>
      <c r="J33" s="11" t="s">
        <v>481</v>
      </c>
      <c r="K33" s="1"/>
      <c r="L33" s="1"/>
      <c r="M33" s="1"/>
      <c r="N33" s="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spans="1:30" ht="15.75" customHeight="1" x14ac:dyDescent="0.2">
      <c r="A34" s="2"/>
      <c r="B34" s="9" t="s">
        <v>482</v>
      </c>
      <c r="C34" s="9" t="s">
        <v>483</v>
      </c>
      <c r="D34" s="9">
        <v>10</v>
      </c>
      <c r="E34" s="13">
        <v>40</v>
      </c>
      <c r="F34" s="9" t="str">
        <f>ROUND((2*D34)/(D34+E34), 2) &amp; " MG/ML | VOLUME: " &amp; (D34+E34) &amp; " ML"</f>
        <v>0,4 MG/ML | VOLUME: 50 ML</v>
      </c>
      <c r="G34" s="9" t="str">
        <f>"BIC: " &amp; ROUND((C8*C9*60)/(ROUND((2*D34*1000)/(D34+E34), 2)), 2) &amp; " ML/HORA"</f>
        <v>BIC: 30 ML/HORA</v>
      </c>
      <c r="H34" s="9" t="s">
        <v>484</v>
      </c>
      <c r="I34" s="3"/>
      <c r="J34" s="11" t="s">
        <v>485</v>
      </c>
      <c r="K34" s="1"/>
      <c r="L34" s="1"/>
      <c r="M34" s="1"/>
      <c r="N34" s="1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spans="1:30" ht="15.75" customHeight="1" x14ac:dyDescent="0.2">
      <c r="A35" s="216"/>
      <c r="B35" s="210"/>
      <c r="C35" s="210"/>
      <c r="D35" s="210"/>
      <c r="E35" s="210"/>
      <c r="F35" s="210"/>
      <c r="G35" s="210"/>
      <c r="H35" s="210"/>
      <c r="I35" s="211"/>
      <c r="J35" s="1"/>
      <c r="K35" s="1"/>
      <c r="L35" s="1"/>
      <c r="M35" s="1"/>
      <c r="N35" s="1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spans="1:30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spans="1:30" ht="15.75" customHeight="1" x14ac:dyDescent="0.2">
      <c r="A37" s="89"/>
      <c r="B37" s="89"/>
      <c r="C37" s="89"/>
      <c r="D37" s="89"/>
      <c r="E37" s="89"/>
      <c r="F37" s="89"/>
      <c r="G37" s="89"/>
      <c r="H37" s="89"/>
      <c r="I37" s="89"/>
      <c r="J37" s="1"/>
      <c r="K37" s="1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spans="1:30" ht="15.75" customHeight="1" x14ac:dyDescent="0.2">
      <c r="A38" s="89"/>
      <c r="B38" s="89"/>
      <c r="C38" s="89"/>
      <c r="D38" s="89"/>
      <c r="E38" s="89"/>
      <c r="F38" s="89"/>
      <c r="G38" s="89"/>
      <c r="H38" s="89"/>
      <c r="I38" s="89"/>
      <c r="J38" s="1"/>
      <c r="K38" s="1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spans="1:30" ht="19.5" customHeight="1" x14ac:dyDescent="0.2">
      <c r="A39" s="89"/>
      <c r="B39" s="89"/>
      <c r="C39" s="89"/>
      <c r="D39" s="89"/>
      <c r="E39" s="89"/>
      <c r="F39" s="89"/>
      <c r="G39" s="89"/>
      <c r="H39" s="89"/>
      <c r="I39" s="89"/>
      <c r="J39" s="1"/>
      <c r="K39" s="1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spans="1:30" ht="15.75" customHeight="1" x14ac:dyDescent="0.2">
      <c r="A40" s="89"/>
      <c r="B40" s="89"/>
      <c r="C40" s="89"/>
      <c r="D40" s="89"/>
      <c r="E40" s="89"/>
      <c r="F40" s="89"/>
      <c r="G40" s="89"/>
      <c r="H40" s="89"/>
      <c r="I40" s="89"/>
      <c r="J40" s="1"/>
      <c r="K40" s="1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spans="1:30" ht="15.75" customHeight="1" x14ac:dyDescent="0.2">
      <c r="A41" s="89"/>
      <c r="B41" s="89"/>
      <c r="C41" s="89"/>
      <c r="D41" s="89"/>
      <c r="E41" s="89"/>
      <c r="F41" s="89"/>
      <c r="G41" s="89"/>
      <c r="H41" s="89"/>
      <c r="I41" s="89"/>
      <c r="J41" s="1"/>
      <c r="K41" s="1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</row>
    <row r="42" spans="1:30" ht="15.75" customHeight="1" x14ac:dyDescent="0.2">
      <c r="A42" s="89"/>
      <c r="B42" s="89"/>
      <c r="C42" s="89"/>
      <c r="D42" s="89"/>
      <c r="E42" s="89"/>
      <c r="F42" s="89"/>
      <c r="G42" s="89"/>
      <c r="H42" s="89"/>
      <c r="I42" s="89"/>
      <c r="J42" s="1"/>
      <c r="K42" s="1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spans="1:30" ht="15.75" customHeight="1" x14ac:dyDescent="0.2">
      <c r="A43" s="89"/>
      <c r="B43" s="89"/>
      <c r="C43" s="89"/>
      <c r="D43" s="89"/>
      <c r="E43" s="89"/>
      <c r="F43" s="89"/>
      <c r="G43" s="89"/>
      <c r="H43" s="89"/>
      <c r="I43" s="89"/>
      <c r="J43" s="1"/>
      <c r="K43" s="1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</row>
    <row r="44" spans="1:30" ht="15.75" customHeight="1" x14ac:dyDescent="0.2">
      <c r="A44" s="89"/>
      <c r="B44" s="89"/>
      <c r="C44" s="89"/>
      <c r="D44" s="89"/>
      <c r="E44" s="89"/>
      <c r="F44" s="89"/>
      <c r="G44" s="89"/>
      <c r="H44" s="89"/>
      <c r="I44" s="89"/>
      <c r="J44" s="1"/>
      <c r="K44" s="1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spans="1:30" ht="15.75" customHeight="1" x14ac:dyDescent="0.2">
      <c r="A45" s="89"/>
      <c r="B45" s="89"/>
      <c r="C45" s="89"/>
      <c r="D45" s="89"/>
      <c r="E45" s="89"/>
      <c r="F45" s="89"/>
      <c r="G45" s="89"/>
      <c r="H45" s="89"/>
      <c r="I45" s="89"/>
      <c r="J45" s="1"/>
      <c r="K45" s="1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spans="1:30" ht="15.75" customHeight="1" x14ac:dyDescent="0.2">
      <c r="A46" s="89"/>
      <c r="B46" s="89"/>
      <c r="C46" s="89"/>
      <c r="D46" s="89"/>
      <c r="E46" s="89"/>
      <c r="F46" s="89"/>
      <c r="G46" s="89"/>
      <c r="H46" s="89"/>
      <c r="I46" s="89"/>
      <c r="J46" s="1"/>
      <c r="K46" s="1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spans="1:30" ht="15.75" customHeight="1" x14ac:dyDescent="0.2">
      <c r="A47" s="89"/>
      <c r="B47" s="89"/>
      <c r="C47" s="89"/>
      <c r="D47" s="89"/>
      <c r="E47" s="89"/>
      <c r="F47" s="89"/>
      <c r="G47" s="89"/>
      <c r="H47" s="89"/>
      <c r="I47" s="89"/>
      <c r="J47" s="1"/>
      <c r="K47" s="1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spans="1:30" ht="15.75" customHeight="1" x14ac:dyDescent="0.2">
      <c r="A48" s="89"/>
      <c r="B48" s="89"/>
      <c r="C48" s="89"/>
      <c r="D48" s="89"/>
      <c r="E48" s="89"/>
      <c r="F48" s="89"/>
      <c r="G48" s="89"/>
      <c r="H48" s="89"/>
      <c r="I48" s="89"/>
      <c r="J48" s="1"/>
      <c r="K48" s="1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spans="1:30" ht="15.75" customHeight="1" x14ac:dyDescent="0.2">
      <c r="A49" s="89"/>
      <c r="B49" s="89"/>
      <c r="C49" s="89"/>
      <c r="D49" s="89"/>
      <c r="E49" s="89"/>
      <c r="F49" s="89"/>
      <c r="G49" s="89"/>
      <c r="H49" s="89"/>
      <c r="I49" s="89"/>
      <c r="J49" s="1"/>
      <c r="K49" s="1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spans="1:30" ht="15.75" customHeight="1" x14ac:dyDescent="0.2">
      <c r="A50" s="89"/>
      <c r="B50" s="89"/>
      <c r="C50" s="89"/>
      <c r="D50" s="89"/>
      <c r="E50" s="89"/>
      <c r="F50" s="89"/>
      <c r="G50" s="89"/>
      <c r="H50" s="89"/>
      <c r="I50" s="89"/>
      <c r="J50" s="1"/>
      <c r="K50" s="1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spans="1:30" ht="15.75" customHeight="1" x14ac:dyDescent="0.2">
      <c r="A51" s="89"/>
      <c r="B51" s="89"/>
      <c r="C51" s="89"/>
      <c r="D51" s="89"/>
      <c r="E51" s="89"/>
      <c r="F51" s="89"/>
      <c r="G51" s="89"/>
      <c r="H51" s="89"/>
      <c r="I51" s="89"/>
      <c r="J51" s="1"/>
      <c r="K51" s="1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spans="1:30" ht="15.75" customHeight="1" x14ac:dyDescent="0.2">
      <c r="A52" s="89"/>
      <c r="B52" s="89"/>
      <c r="C52" s="89"/>
      <c r="D52" s="89"/>
      <c r="E52" s="89"/>
      <c r="F52" s="89"/>
      <c r="G52" s="89"/>
      <c r="H52" s="89"/>
      <c r="I52" s="89"/>
      <c r="J52" s="1"/>
      <c r="K52" s="1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spans="1:30" ht="15.75" customHeight="1" x14ac:dyDescent="0.2">
      <c r="A53" s="89"/>
      <c r="B53" s="89"/>
      <c r="C53" s="89"/>
      <c r="D53" s="89"/>
      <c r="E53" s="89"/>
      <c r="F53" s="89"/>
      <c r="G53" s="89"/>
      <c r="H53" s="89"/>
      <c r="I53" s="89"/>
      <c r="J53" s="1"/>
      <c r="K53" s="1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spans="1:30" ht="15.75" customHeight="1" x14ac:dyDescent="0.2">
      <c r="A54" s="89"/>
      <c r="B54" s="89"/>
      <c r="C54" s="89"/>
      <c r="D54" s="89"/>
      <c r="E54" s="89"/>
      <c r="F54" s="89"/>
      <c r="G54" s="89"/>
      <c r="H54" s="89"/>
      <c r="I54" s="89"/>
      <c r="J54" s="1"/>
      <c r="K54" s="1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spans="1:30" ht="15.75" customHeight="1" x14ac:dyDescent="0.2">
      <c r="A55" s="89"/>
      <c r="B55" s="89"/>
      <c r="C55" s="89"/>
      <c r="D55" s="89"/>
      <c r="E55" s="89"/>
      <c r="F55" s="89"/>
      <c r="G55" s="89"/>
      <c r="H55" s="89"/>
      <c r="I55" s="89"/>
      <c r="J55" s="1"/>
      <c r="K55" s="1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spans="1:30" ht="15.75" customHeight="1" x14ac:dyDescent="0.2">
      <c r="A56" s="89"/>
      <c r="B56" s="89"/>
      <c r="C56" s="89"/>
      <c r="D56" s="89"/>
      <c r="E56" s="89"/>
      <c r="F56" s="89"/>
      <c r="G56" s="89"/>
      <c r="H56" s="89"/>
      <c r="I56" s="89"/>
      <c r="J56" s="1"/>
      <c r="K56" s="1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spans="1:30" ht="15.75" customHeight="1" x14ac:dyDescent="0.2">
      <c r="A57" s="89"/>
      <c r="B57" s="89"/>
      <c r="C57" s="89"/>
      <c r="D57" s="89"/>
      <c r="E57" s="89"/>
      <c r="F57" s="89"/>
      <c r="G57" s="89"/>
      <c r="H57" s="89"/>
      <c r="I57" s="89"/>
      <c r="J57" s="1"/>
      <c r="K57" s="1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spans="1:30" ht="15.75" customHeight="1" x14ac:dyDescent="0.2">
      <c r="A58" s="89"/>
      <c r="B58" s="89"/>
      <c r="C58" s="89"/>
      <c r="D58" s="89"/>
      <c r="E58" s="89"/>
      <c r="F58" s="89"/>
      <c r="G58" s="89"/>
      <c r="H58" s="89"/>
      <c r="I58" s="89"/>
      <c r="J58" s="1"/>
      <c r="K58" s="1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spans="1:30" ht="15.75" customHeight="1" x14ac:dyDescent="0.2">
      <c r="A59" s="89"/>
      <c r="B59" s="89"/>
      <c r="C59" s="89"/>
      <c r="D59" s="89"/>
      <c r="E59" s="89"/>
      <c r="F59" s="89"/>
      <c r="G59" s="89"/>
      <c r="H59" s="89"/>
      <c r="I59" s="89"/>
      <c r="J59" s="1"/>
      <c r="K59" s="1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spans="1:30" ht="15.75" customHeight="1" x14ac:dyDescent="0.2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spans="1:30" ht="15.75" customHeight="1" x14ac:dyDescent="0.2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spans="1:30" ht="15.75" customHeight="1" x14ac:dyDescent="0.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spans="1:30" ht="15.75" customHeight="1" x14ac:dyDescent="0.2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spans="1:30" ht="15.75" customHeight="1" x14ac:dyDescent="0.2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spans="1:30" ht="15.75" customHeight="1" x14ac:dyDescent="0.2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spans="1:30" ht="15.75" customHeight="1" x14ac:dyDescent="0.2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spans="1:30" ht="15.75" customHeight="1" x14ac:dyDescent="0.2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spans="1:30" ht="15.75" customHeight="1" x14ac:dyDescent="0.2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spans="1:30" ht="15.75" customHeight="1" x14ac:dyDescent="0.2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spans="1:30" ht="15.75" customHeight="1" x14ac:dyDescent="0.2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spans="1:30" ht="15.75" customHeight="1" x14ac:dyDescent="0.2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spans="1:30" ht="15.75" customHeight="1" x14ac:dyDescent="0.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spans="1:30" ht="15.75" customHeight="1" x14ac:dyDescent="0.2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spans="1:30" ht="15.75" customHeight="1" x14ac:dyDescent="0.2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spans="1:30" ht="15.75" customHeight="1" x14ac:dyDescent="0.2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spans="1:30" ht="15.75" customHeight="1" x14ac:dyDescent="0.2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spans="1:30" ht="15.75" customHeight="1" x14ac:dyDescent="0.2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spans="1:30" ht="15.75" customHeight="1" x14ac:dyDescent="0.2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spans="1:30" ht="15.75" customHeight="1" x14ac:dyDescent="0.2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spans="1:30" ht="15.75" customHeight="1" x14ac:dyDescent="0.2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spans="1:30" ht="15.75" customHeight="1" x14ac:dyDescent="0.2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spans="1:30" ht="15.75" customHeight="1" x14ac:dyDescent="0.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spans="1:30" ht="15.75" customHeight="1" x14ac:dyDescent="0.2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spans="1:30" ht="15.75" customHeight="1" x14ac:dyDescent="0.2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spans="1:30" ht="15.75" customHeight="1" x14ac:dyDescent="0.2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spans="1:30" ht="15.75" customHeight="1" x14ac:dyDescent="0.2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spans="1:30" ht="15.75" customHeight="1" x14ac:dyDescent="0.2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spans="1:30" ht="15.75" customHeight="1" x14ac:dyDescent="0.2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spans="1:30" ht="15.75" customHeight="1" x14ac:dyDescent="0.2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spans="1:30" ht="15.75" customHeight="1" x14ac:dyDescent="0.2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spans="1:30" ht="15.75" customHeight="1" x14ac:dyDescent="0.2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spans="1:30" ht="15.75" customHeight="1" x14ac:dyDescent="0.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spans="1:30" ht="15.75" customHeight="1" x14ac:dyDescent="0.2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spans="1:30" ht="15.75" customHeight="1" x14ac:dyDescent="0.2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spans="1:30" ht="15.75" customHeight="1" x14ac:dyDescent="0.2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spans="1:30" ht="15.75" customHeight="1" x14ac:dyDescent="0.2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spans="1:30" ht="15.75" customHeight="1" x14ac:dyDescent="0.2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spans="1:30" ht="15.75" customHeight="1" x14ac:dyDescent="0.2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spans="1:30" ht="15.75" customHeight="1" x14ac:dyDescent="0.2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spans="1:30" ht="15.75" customHeight="1" x14ac:dyDescent="0.2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spans="1:30" ht="15.75" customHeight="1" x14ac:dyDescent="0.2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spans="1:30" ht="15.75" customHeight="1" x14ac:dyDescent="0.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spans="1:30" ht="15.75" customHeight="1" x14ac:dyDescent="0.2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spans="1:30" ht="15.75" customHeight="1" x14ac:dyDescent="0.2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spans="1:30" ht="15.75" customHeight="1" x14ac:dyDescent="0.2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spans="1:30" ht="15.75" customHeight="1" x14ac:dyDescent="0.2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spans="1:30" ht="15.75" customHeight="1" x14ac:dyDescent="0.2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spans="1:30" ht="15.75" customHeight="1" x14ac:dyDescent="0.2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spans="1:30" ht="15.75" customHeight="1" x14ac:dyDescent="0.2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spans="1:30" ht="15.75" customHeight="1" x14ac:dyDescent="0.2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spans="1:30" ht="15.75" customHeight="1" x14ac:dyDescent="0.2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spans="1:30" ht="15.75" customHeight="1" x14ac:dyDescent="0.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spans="1:30" ht="15.75" customHeight="1" x14ac:dyDescent="0.2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spans="1:30" ht="15.75" customHeight="1" x14ac:dyDescent="0.2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spans="1:30" ht="15.75" customHeight="1" x14ac:dyDescent="0.2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spans="1:30" ht="15.75" customHeight="1" x14ac:dyDescent="0.2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spans="1:30" ht="15.75" customHeight="1" x14ac:dyDescent="0.2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spans="1:30" ht="15.75" customHeight="1" x14ac:dyDescent="0.2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spans="1:30" ht="15.75" customHeight="1" x14ac:dyDescent="0.2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spans="1:30" ht="15.75" customHeight="1" x14ac:dyDescent="0.2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spans="1:30" ht="15.75" customHeight="1" x14ac:dyDescent="0.2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spans="1:30" ht="15.75" customHeight="1" x14ac:dyDescent="0.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spans="1:30" ht="15.75" customHeight="1" x14ac:dyDescent="0.2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spans="1:30" ht="15.75" customHeight="1" x14ac:dyDescent="0.2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spans="1:30" ht="15.75" customHeight="1" x14ac:dyDescent="0.2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spans="1:30" ht="15.75" customHeight="1" x14ac:dyDescent="0.2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spans="1:30" ht="15.75" customHeight="1" x14ac:dyDescent="0.2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spans="1:30" ht="15.75" customHeight="1" x14ac:dyDescent="0.2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spans="1:30" ht="15.75" customHeight="1" x14ac:dyDescent="0.2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spans="1:30" ht="15.75" customHeight="1" x14ac:dyDescent="0.2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spans="1:30" ht="15.75" customHeight="1" x14ac:dyDescent="0.2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spans="1:30" ht="15.75" customHeight="1" x14ac:dyDescent="0.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spans="1:30" ht="15.75" customHeight="1" x14ac:dyDescent="0.2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spans="1:30" ht="15.75" customHeight="1" x14ac:dyDescent="0.2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spans="1:30" ht="15.75" customHeight="1" x14ac:dyDescent="0.2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spans="1:30" ht="15.75" customHeight="1" x14ac:dyDescent="0.2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spans="1:30" ht="15.75" customHeight="1" x14ac:dyDescent="0.2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spans="1:30" ht="15.75" customHeight="1" x14ac:dyDescent="0.2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spans="1:30" ht="15.75" customHeight="1" x14ac:dyDescent="0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spans="1:30" ht="15.75" customHeight="1" x14ac:dyDescent="0.2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spans="1:30" ht="15.75" customHeight="1" x14ac:dyDescent="0.2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spans="1:30" ht="15.75" customHeight="1" x14ac:dyDescent="0.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spans="1:30" ht="15.75" customHeight="1" x14ac:dyDescent="0.2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spans="1:30" ht="15.75" customHeight="1" x14ac:dyDescent="0.2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spans="1:30" ht="15.75" customHeight="1" x14ac:dyDescent="0.2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spans="1:30" ht="15.75" customHeight="1" x14ac:dyDescent="0.2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spans="1:30" ht="15.75" customHeight="1" x14ac:dyDescent="0.2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spans="1:30" ht="15.75" customHeight="1" x14ac:dyDescent="0.2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spans="1:30" ht="15.75" customHeight="1" x14ac:dyDescent="0.2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spans="1:30" ht="15.75" customHeight="1" x14ac:dyDescent="0.2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spans="1:30" ht="15.75" customHeight="1" x14ac:dyDescent="0.2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spans="1:30" ht="15.75" customHeight="1" x14ac:dyDescent="0.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spans="1:30" ht="15.75" customHeight="1" x14ac:dyDescent="0.2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spans="1:30" ht="15.75" customHeight="1" x14ac:dyDescent="0.2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spans="1:30" ht="15.75" customHeight="1" x14ac:dyDescent="0.2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spans="1:30" ht="15.75" customHeight="1" x14ac:dyDescent="0.2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spans="1:30" ht="15.75" customHeight="1" x14ac:dyDescent="0.2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spans="1:30" ht="15.75" customHeight="1" x14ac:dyDescent="0.2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spans="1:30" ht="15.75" customHeight="1" x14ac:dyDescent="0.2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spans="1:30" ht="15.75" customHeight="1" x14ac:dyDescent="0.2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spans="1:30" ht="15.75" customHeight="1" x14ac:dyDescent="0.2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spans="1:30" ht="15.75" customHeight="1" x14ac:dyDescent="0.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spans="1:30" ht="15.75" customHeight="1" x14ac:dyDescent="0.2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spans="1:30" ht="15.75" customHeight="1" x14ac:dyDescent="0.2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spans="1:30" ht="15.75" customHeight="1" x14ac:dyDescent="0.2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spans="1:30" ht="15.75" customHeight="1" x14ac:dyDescent="0.2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spans="1:30" ht="15.75" customHeight="1" x14ac:dyDescent="0.2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spans="1:30" ht="15.75" customHeight="1" x14ac:dyDescent="0.2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spans="1:30" ht="15.75" customHeight="1" x14ac:dyDescent="0.2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spans="1:30" ht="15.75" customHeight="1" x14ac:dyDescent="0.2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spans="1:30" ht="15.75" customHeight="1" x14ac:dyDescent="0.2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spans="1:30" ht="15.75" customHeight="1" x14ac:dyDescent="0.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spans="1:30" ht="15.75" customHeight="1" x14ac:dyDescent="0.2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spans="1:30" ht="15.75" customHeight="1" x14ac:dyDescent="0.2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spans="1:30" ht="15.75" customHeight="1" x14ac:dyDescent="0.2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spans="1:30" ht="15.75" customHeight="1" x14ac:dyDescent="0.2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spans="1:30" ht="15.75" customHeight="1" x14ac:dyDescent="0.2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spans="1:30" ht="15.75" customHeight="1" x14ac:dyDescent="0.2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spans="1:30" ht="15.75" customHeight="1" x14ac:dyDescent="0.2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spans="1:30" ht="15.75" customHeight="1" x14ac:dyDescent="0.2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spans="1:30" ht="15.75" customHeight="1" x14ac:dyDescent="0.2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spans="1:30" ht="15.75" customHeight="1" x14ac:dyDescent="0.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spans="1:30" ht="15.75" customHeight="1" x14ac:dyDescent="0.2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spans="1:30" ht="15.75" customHeight="1" x14ac:dyDescent="0.2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spans="1:30" ht="15.75" customHeight="1" x14ac:dyDescent="0.2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spans="1:30" ht="15.75" customHeight="1" x14ac:dyDescent="0.2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spans="1:30" ht="15.75" customHeight="1" x14ac:dyDescent="0.2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spans="1:30" ht="15.75" customHeight="1" x14ac:dyDescent="0.2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spans="1:30" ht="15.75" customHeight="1" x14ac:dyDescent="0.2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spans="1:30" ht="15.75" customHeight="1" x14ac:dyDescent="0.2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spans="1:30" ht="15.75" customHeight="1" x14ac:dyDescent="0.2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spans="1:30" ht="15.75" customHeight="1" x14ac:dyDescent="0.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spans="1:30" ht="15.75" customHeight="1" x14ac:dyDescent="0.2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spans="1:30" ht="15.75" customHeight="1" x14ac:dyDescent="0.2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spans="1:30" ht="15.75" customHeight="1" x14ac:dyDescent="0.2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spans="1:30" ht="15.75" customHeight="1" x14ac:dyDescent="0.2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spans="1:30" ht="15.75" customHeight="1" x14ac:dyDescent="0.2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spans="1:30" ht="15.75" customHeight="1" x14ac:dyDescent="0.2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spans="1:30" ht="15.75" customHeight="1" x14ac:dyDescent="0.2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spans="1:30" ht="15.75" customHeight="1" x14ac:dyDescent="0.2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spans="1:30" ht="15.75" customHeight="1" x14ac:dyDescent="0.2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spans="1:30" ht="15.75" customHeight="1" x14ac:dyDescent="0.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spans="1:30" ht="15.75" customHeight="1" x14ac:dyDescent="0.2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spans="1:30" ht="15.75" customHeight="1" x14ac:dyDescent="0.2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spans="1:30" ht="15.75" customHeight="1" x14ac:dyDescent="0.2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spans="1:30" ht="15.75" customHeight="1" x14ac:dyDescent="0.2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spans="1:30" ht="15.75" customHeight="1" x14ac:dyDescent="0.2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spans="1:30" ht="15.75" customHeight="1" x14ac:dyDescent="0.2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spans="1:30" ht="15.75" customHeight="1" x14ac:dyDescent="0.2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spans="1:30" ht="15.75" customHeight="1" x14ac:dyDescent="0.2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spans="1:30" ht="15.75" customHeight="1" x14ac:dyDescent="0.2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spans="1:30" ht="15.75" customHeight="1" x14ac:dyDescent="0.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spans="1:30" ht="15.75" customHeight="1" x14ac:dyDescent="0.2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spans="1:30" ht="15.75" customHeight="1" x14ac:dyDescent="0.2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spans="1:30" ht="15.75" customHeight="1" x14ac:dyDescent="0.2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spans="1:30" ht="15.75" customHeight="1" x14ac:dyDescent="0.2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spans="1:30" ht="15.75" customHeight="1" x14ac:dyDescent="0.2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spans="1:30" ht="15.75" customHeight="1" x14ac:dyDescent="0.2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spans="1:30" ht="15.75" customHeight="1" x14ac:dyDescent="0.2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spans="1:30" ht="15.75" customHeight="1" x14ac:dyDescent="0.2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spans="1:30" ht="15.75" customHeight="1" x14ac:dyDescent="0.2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spans="1:30" ht="15.75" customHeight="1" x14ac:dyDescent="0.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spans="1:30" ht="15.75" customHeight="1" x14ac:dyDescent="0.2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spans="1:30" ht="15.75" customHeight="1" x14ac:dyDescent="0.2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spans="1:30" ht="15.75" customHeight="1" x14ac:dyDescent="0.2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spans="1:30" ht="15.75" customHeight="1" x14ac:dyDescent="0.2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spans="1:30" ht="15.75" customHeight="1" x14ac:dyDescent="0.2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spans="1:30" ht="15.75" customHeight="1" x14ac:dyDescent="0.2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spans="1:30" ht="15.75" customHeight="1" x14ac:dyDescent="0.2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spans="1:30" ht="15.75" customHeight="1" x14ac:dyDescent="0.2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spans="1:30" ht="15.75" customHeight="1" x14ac:dyDescent="0.2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spans="1:30" ht="15.75" customHeight="1" x14ac:dyDescent="0.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spans="1:30" ht="15.75" customHeight="1" x14ac:dyDescent="0.2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spans="1:30" ht="15.75" customHeight="1" x14ac:dyDescent="0.2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spans="1:30" ht="15.75" customHeight="1" x14ac:dyDescent="0.2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spans="1:30" ht="15.75" customHeight="1" x14ac:dyDescent="0.2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spans="1:30" ht="15.75" customHeight="1" x14ac:dyDescent="0.2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spans="1:30" ht="15.75" customHeight="1" x14ac:dyDescent="0.2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spans="1:30" ht="15.75" customHeight="1" x14ac:dyDescent="0.2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spans="1:30" ht="15.75" customHeight="1" x14ac:dyDescent="0.2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spans="1:30" ht="15.75" customHeight="1" x14ac:dyDescent="0.2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spans="1:30" ht="15.75" customHeight="1" x14ac:dyDescent="0.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spans="1:30" ht="15.75" customHeight="1" x14ac:dyDescent="0.2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spans="1:30" ht="15.75" customHeight="1" x14ac:dyDescent="0.2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spans="1:30" ht="15.75" customHeight="1" x14ac:dyDescent="0.2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spans="1:30" ht="15.75" customHeight="1" x14ac:dyDescent="0.2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spans="1:30" ht="15.75" customHeight="1" x14ac:dyDescent="0.2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spans="1:30" ht="15.75" customHeight="1" x14ac:dyDescent="0.2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spans="1:30" ht="15.75" customHeight="1" x14ac:dyDescent="0.2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spans="1:30" ht="15.75" customHeight="1" x14ac:dyDescent="0.2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spans="1:30" ht="15.75" customHeight="1" x14ac:dyDescent="0.2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spans="1:30" ht="15.75" customHeight="1" x14ac:dyDescent="0.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spans="1:30" ht="15.75" customHeight="1" x14ac:dyDescent="0.2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spans="1:30" ht="15.75" customHeight="1" x14ac:dyDescent="0.2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spans="1:30" ht="15.75" customHeight="1" x14ac:dyDescent="0.2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spans="1:30" ht="15.75" customHeight="1" x14ac:dyDescent="0.2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spans="1:30" ht="15.75" customHeight="1" x14ac:dyDescent="0.2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spans="1:30" ht="15.75" customHeight="1" x14ac:dyDescent="0.2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spans="1:30" ht="15.75" customHeight="1" x14ac:dyDescent="0.2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spans="1:30" ht="15.75" customHeight="1" x14ac:dyDescent="0.2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spans="1:30" ht="15.75" customHeight="1" x14ac:dyDescent="0.2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spans="1:30" ht="15.75" customHeight="1" x14ac:dyDescent="0.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spans="1:30" ht="15.75" customHeight="1" x14ac:dyDescent="0.2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spans="1:30" ht="15.75" customHeight="1" x14ac:dyDescent="0.2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spans="1:30" ht="15.75" customHeight="1" x14ac:dyDescent="0.2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spans="1:30" ht="15.75" customHeight="1" x14ac:dyDescent="0.2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spans="1:30" ht="15.75" customHeight="1" x14ac:dyDescent="0.2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spans="1:30" ht="15.75" customHeight="1" x14ac:dyDescent="0.2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spans="1:30" ht="15.75" customHeight="1" x14ac:dyDescent="0.2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spans="1:30" ht="15.75" customHeight="1" x14ac:dyDescent="0.2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spans="1:30" ht="15.75" customHeight="1" x14ac:dyDescent="0.2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spans="1:30" ht="15.75" customHeight="1" x14ac:dyDescent="0.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spans="1:30" ht="15.75" customHeight="1" x14ac:dyDescent="0.2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spans="1:30" ht="15.75" customHeight="1" x14ac:dyDescent="0.2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spans="1:30" ht="15.75" customHeight="1" x14ac:dyDescent="0.2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spans="1:30" ht="15.75" customHeight="1" x14ac:dyDescent="0.2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spans="1:30" ht="15.75" customHeight="1" x14ac:dyDescent="0.2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spans="1:30" ht="15.75" customHeight="1" x14ac:dyDescent="0.2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spans="1:30" ht="15.75" customHeight="1" x14ac:dyDescent="0.2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spans="1:30" ht="15.75" customHeight="1" x14ac:dyDescent="0.2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spans="1:30" ht="15.75" customHeight="1" x14ac:dyDescent="0.2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spans="1:30" ht="15.75" customHeight="1" x14ac:dyDescent="0.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spans="1:30" ht="15.75" customHeight="1" x14ac:dyDescent="0.2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spans="1:30" ht="15.75" customHeight="1" x14ac:dyDescent="0.2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spans="1:30" ht="15.75" customHeight="1" x14ac:dyDescent="0.2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spans="1:30" ht="15.75" customHeight="1" x14ac:dyDescent="0.2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spans="1:30" ht="15.75" customHeight="1" x14ac:dyDescent="0.2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spans="1:30" ht="15.75" customHeight="1" x14ac:dyDescent="0.2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spans="1:30" ht="15.75" customHeight="1" x14ac:dyDescent="0.2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spans="1:30" ht="15.75" customHeight="1" x14ac:dyDescent="0.2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spans="1:30" ht="15.75" customHeight="1" x14ac:dyDescent="0.2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spans="1:30" ht="15.75" customHeight="1" x14ac:dyDescent="0.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spans="1:30" ht="15.75" customHeight="1" x14ac:dyDescent="0.2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spans="1:30" ht="15.75" customHeight="1" x14ac:dyDescent="0.2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spans="1:30" ht="15.75" customHeight="1" x14ac:dyDescent="0.2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spans="1:30" ht="15.75" customHeight="1" x14ac:dyDescent="0.2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spans="1:30" ht="15.75" customHeight="1" x14ac:dyDescent="0.2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spans="1:30" ht="15.75" customHeight="1" x14ac:dyDescent="0.2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spans="1:30" ht="15.75" customHeight="1" x14ac:dyDescent="0.2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spans="1:30" ht="15.75" customHeight="1" x14ac:dyDescent="0.2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spans="1:30" ht="15.75" customHeight="1" x14ac:dyDescent="0.2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spans="1:30" ht="15.75" customHeight="1" x14ac:dyDescent="0.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spans="1:30" ht="15.75" customHeight="1" x14ac:dyDescent="0.2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spans="1:30" ht="15.75" customHeight="1" x14ac:dyDescent="0.2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spans="1:30" ht="15.75" customHeight="1" x14ac:dyDescent="0.2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spans="1:30" ht="15.75" customHeight="1" x14ac:dyDescent="0.2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spans="1:30" ht="15.75" customHeight="1" x14ac:dyDescent="0.2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spans="1:30" ht="15.75" customHeight="1" x14ac:dyDescent="0.2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spans="1:30" ht="15.75" customHeight="1" x14ac:dyDescent="0.2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spans="1:30" ht="15.75" customHeight="1" x14ac:dyDescent="0.2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spans="1:30" ht="15.75" customHeight="1" x14ac:dyDescent="0.2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spans="1:30" ht="15.75" customHeight="1" x14ac:dyDescent="0.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spans="1:30" ht="15.75" customHeight="1" x14ac:dyDescent="0.2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spans="1:30" ht="15.75" customHeight="1" x14ac:dyDescent="0.2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spans="1:30" ht="15.75" customHeight="1" x14ac:dyDescent="0.2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spans="1:30" ht="15.75" customHeight="1" x14ac:dyDescent="0.2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spans="1:30" ht="15.75" customHeight="1" x14ac:dyDescent="0.2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spans="1:30" ht="15.75" customHeight="1" x14ac:dyDescent="0.2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spans="1:30" ht="15.75" customHeight="1" x14ac:dyDescent="0.2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spans="1:30" ht="15.75" customHeight="1" x14ac:dyDescent="0.2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spans="1:30" ht="15.75" customHeight="1" x14ac:dyDescent="0.2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spans="1:30" ht="15.75" customHeight="1" x14ac:dyDescent="0.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spans="1:30" ht="15.75" customHeight="1" x14ac:dyDescent="0.2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spans="1:30" ht="15.75" customHeight="1" x14ac:dyDescent="0.2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spans="1:30" ht="15.75" customHeight="1" x14ac:dyDescent="0.2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spans="1:30" ht="15.75" customHeight="1" x14ac:dyDescent="0.2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spans="1:30" ht="15.75" customHeight="1" x14ac:dyDescent="0.2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spans="1:30" ht="15.75" customHeight="1" x14ac:dyDescent="0.2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spans="1:30" ht="15.75" customHeight="1" x14ac:dyDescent="0.2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spans="1:30" ht="15.75" customHeight="1" x14ac:dyDescent="0.2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spans="1:30" ht="15.75" customHeight="1" x14ac:dyDescent="0.2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spans="1:30" ht="15.75" customHeight="1" x14ac:dyDescent="0.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spans="1:30" ht="15.75" customHeight="1" x14ac:dyDescent="0.2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spans="1:30" ht="15.75" customHeight="1" x14ac:dyDescent="0.2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spans="1:30" ht="15.75" customHeight="1" x14ac:dyDescent="0.2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spans="1:30" ht="15.75" customHeight="1" x14ac:dyDescent="0.2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spans="1:30" ht="15.75" customHeight="1" x14ac:dyDescent="0.2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spans="1:30" ht="15.75" customHeight="1" x14ac:dyDescent="0.2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spans="1:30" ht="15.75" customHeight="1" x14ac:dyDescent="0.2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spans="1:30" ht="15.75" customHeight="1" x14ac:dyDescent="0.2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spans="1:30" ht="15.75" customHeight="1" x14ac:dyDescent="0.2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spans="1:30" ht="15.75" customHeight="1" x14ac:dyDescent="0.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spans="1:30" ht="15.75" customHeight="1" x14ac:dyDescent="0.2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spans="1:30" ht="15.75" customHeight="1" x14ac:dyDescent="0.2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spans="1:30" ht="15.75" customHeight="1" x14ac:dyDescent="0.2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spans="1:30" ht="15.75" customHeight="1" x14ac:dyDescent="0.2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spans="1:30" ht="15.75" customHeight="1" x14ac:dyDescent="0.2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spans="1:30" ht="15.75" customHeight="1" x14ac:dyDescent="0.2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spans="1:30" ht="15.75" customHeight="1" x14ac:dyDescent="0.2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spans="1:30" ht="15.75" customHeight="1" x14ac:dyDescent="0.2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spans="1:30" ht="15.75" customHeight="1" x14ac:dyDescent="0.2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spans="1:30" ht="15.75" customHeight="1" x14ac:dyDescent="0.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spans="1:30" ht="15.75" customHeight="1" x14ac:dyDescent="0.2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spans="1:30" ht="15.75" customHeight="1" x14ac:dyDescent="0.2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spans="1:30" ht="15.75" customHeight="1" x14ac:dyDescent="0.2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spans="1:30" ht="15.75" customHeight="1" x14ac:dyDescent="0.2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spans="1:30" ht="15.75" customHeight="1" x14ac:dyDescent="0.2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spans="1:30" ht="15.75" customHeight="1" x14ac:dyDescent="0.2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spans="1:30" ht="15.75" customHeight="1" x14ac:dyDescent="0.2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spans="1:30" ht="15.75" customHeight="1" x14ac:dyDescent="0.2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spans="1:30" ht="15.75" customHeight="1" x14ac:dyDescent="0.2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spans="1:30" ht="15.75" customHeight="1" x14ac:dyDescent="0.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spans="1:30" ht="15.75" customHeight="1" x14ac:dyDescent="0.2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spans="1:30" ht="15.75" customHeight="1" x14ac:dyDescent="0.2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spans="1:30" ht="15.75" customHeight="1" x14ac:dyDescent="0.2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spans="1:30" ht="15.75" customHeight="1" x14ac:dyDescent="0.2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spans="1:30" ht="15.75" customHeight="1" x14ac:dyDescent="0.2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spans="1:30" ht="15.75" customHeight="1" x14ac:dyDescent="0.2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spans="1:30" ht="15.75" customHeight="1" x14ac:dyDescent="0.2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spans="1:30" ht="15.75" customHeight="1" x14ac:dyDescent="0.2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spans="1:30" ht="15.75" customHeight="1" x14ac:dyDescent="0.2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spans="1:30" ht="15.75" customHeight="1" x14ac:dyDescent="0.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spans="1:30" ht="15.75" customHeight="1" x14ac:dyDescent="0.2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spans="1:30" ht="15.75" customHeight="1" x14ac:dyDescent="0.2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spans="1:30" ht="15.75" customHeight="1" x14ac:dyDescent="0.2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spans="1:30" ht="15.75" customHeight="1" x14ac:dyDescent="0.2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spans="1:30" ht="15.75" customHeight="1" x14ac:dyDescent="0.2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spans="1:30" ht="15.75" customHeight="1" x14ac:dyDescent="0.2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spans="1:30" ht="15.75" customHeight="1" x14ac:dyDescent="0.2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spans="1:30" ht="15.75" customHeight="1" x14ac:dyDescent="0.2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spans="1:30" ht="15.75" customHeight="1" x14ac:dyDescent="0.2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spans="1:30" ht="15.75" customHeight="1" x14ac:dyDescent="0.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spans="1:30" ht="15.75" customHeight="1" x14ac:dyDescent="0.2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spans="1:30" ht="15.75" customHeight="1" x14ac:dyDescent="0.2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spans="1:30" ht="15.75" customHeight="1" x14ac:dyDescent="0.2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spans="1:30" ht="15.75" customHeight="1" x14ac:dyDescent="0.2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spans="1:30" ht="15.75" customHeight="1" x14ac:dyDescent="0.2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spans="1:30" ht="15.75" customHeight="1" x14ac:dyDescent="0.2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spans="1:30" ht="15.75" customHeight="1" x14ac:dyDescent="0.2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spans="1:30" ht="15.75" customHeight="1" x14ac:dyDescent="0.2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spans="1:30" ht="15.75" customHeight="1" x14ac:dyDescent="0.2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spans="1:30" ht="15.75" customHeight="1" x14ac:dyDescent="0.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spans="1:30" ht="15.75" customHeight="1" x14ac:dyDescent="0.2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spans="1:30" ht="15.75" customHeight="1" x14ac:dyDescent="0.2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spans="1:30" ht="15.75" customHeight="1" x14ac:dyDescent="0.2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spans="1:30" ht="15.75" customHeight="1" x14ac:dyDescent="0.2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spans="1:30" ht="15.75" customHeight="1" x14ac:dyDescent="0.2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spans="1:30" ht="15.75" customHeight="1" x14ac:dyDescent="0.2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spans="1:30" ht="15.75" customHeight="1" x14ac:dyDescent="0.2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spans="1:30" ht="15.75" customHeight="1" x14ac:dyDescent="0.2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spans="1:30" ht="15.75" customHeight="1" x14ac:dyDescent="0.2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spans="1:30" ht="15.75" customHeight="1" x14ac:dyDescent="0.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spans="1:30" ht="15.75" customHeight="1" x14ac:dyDescent="0.2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spans="1:30" ht="15.75" customHeight="1" x14ac:dyDescent="0.2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spans="1:30" ht="15.75" customHeight="1" x14ac:dyDescent="0.2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spans="1:30" ht="15.75" customHeight="1" x14ac:dyDescent="0.2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spans="1:30" ht="15.75" customHeight="1" x14ac:dyDescent="0.2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spans="1:30" ht="15.75" customHeight="1" x14ac:dyDescent="0.2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spans="1:30" ht="15.75" customHeight="1" x14ac:dyDescent="0.2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spans="1:30" ht="15.75" customHeight="1" x14ac:dyDescent="0.2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spans="1:30" ht="15.75" customHeight="1" x14ac:dyDescent="0.2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spans="1:30" ht="15.75" customHeight="1" x14ac:dyDescent="0.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spans="1:30" ht="15.75" customHeight="1" x14ac:dyDescent="0.2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spans="1:30" ht="15.75" customHeight="1" x14ac:dyDescent="0.2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spans="1:30" ht="15.75" customHeight="1" x14ac:dyDescent="0.2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spans="1:30" ht="15.75" customHeight="1" x14ac:dyDescent="0.2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spans="1:30" ht="15.75" customHeight="1" x14ac:dyDescent="0.2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spans="1:30" ht="15.75" customHeight="1" x14ac:dyDescent="0.2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spans="1:30" ht="15.75" customHeight="1" x14ac:dyDescent="0.2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spans="1:30" ht="15.75" customHeight="1" x14ac:dyDescent="0.2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spans="1:30" ht="15.75" customHeight="1" x14ac:dyDescent="0.2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spans="1:30" ht="15.75" customHeight="1" x14ac:dyDescent="0.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spans="1:30" ht="15.75" customHeight="1" x14ac:dyDescent="0.2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spans="1:30" ht="15.75" customHeight="1" x14ac:dyDescent="0.2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spans="1:30" ht="15.75" customHeight="1" x14ac:dyDescent="0.2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spans="1:30" ht="15.75" customHeight="1" x14ac:dyDescent="0.2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spans="1:30" ht="15.75" customHeight="1" x14ac:dyDescent="0.2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spans="1:30" ht="15.75" customHeight="1" x14ac:dyDescent="0.2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spans="1:30" ht="15.75" customHeight="1" x14ac:dyDescent="0.2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spans="1:30" ht="15.75" customHeight="1" x14ac:dyDescent="0.2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spans="1:30" ht="15.75" customHeight="1" x14ac:dyDescent="0.2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spans="1:30" ht="15.75" customHeight="1" x14ac:dyDescent="0.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spans="1:30" ht="15.75" customHeight="1" x14ac:dyDescent="0.2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spans="1:30" ht="15.75" customHeight="1" x14ac:dyDescent="0.2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spans="1:30" ht="15.75" customHeight="1" x14ac:dyDescent="0.2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spans="1:30" ht="15.75" customHeight="1" x14ac:dyDescent="0.2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spans="1:30" ht="15.75" customHeight="1" x14ac:dyDescent="0.2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spans="1:30" ht="15.75" customHeight="1" x14ac:dyDescent="0.2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spans="1:30" ht="15.75" customHeight="1" x14ac:dyDescent="0.2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spans="1:30" ht="15.75" customHeight="1" x14ac:dyDescent="0.2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spans="1:30" ht="15.75" customHeight="1" x14ac:dyDescent="0.2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spans="1:30" ht="15.75" customHeight="1" x14ac:dyDescent="0.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spans="1:30" ht="15.75" customHeight="1" x14ac:dyDescent="0.2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spans="1:30" ht="15.75" customHeight="1" x14ac:dyDescent="0.2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spans="1:30" ht="15.75" customHeight="1" x14ac:dyDescent="0.2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spans="1:30" ht="15.75" customHeight="1" x14ac:dyDescent="0.2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spans="1:30" ht="15.75" customHeight="1" x14ac:dyDescent="0.2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spans="1:30" ht="15.75" customHeight="1" x14ac:dyDescent="0.2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spans="1:30" ht="15.75" customHeight="1" x14ac:dyDescent="0.2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spans="1:30" ht="15.75" customHeight="1" x14ac:dyDescent="0.2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spans="1:30" ht="15.75" customHeight="1" x14ac:dyDescent="0.2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spans="1:30" ht="15.75" customHeight="1" x14ac:dyDescent="0.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spans="1:30" ht="15.75" customHeight="1" x14ac:dyDescent="0.2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spans="1:30" ht="15.75" customHeight="1" x14ac:dyDescent="0.2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spans="1:30" ht="15.75" customHeight="1" x14ac:dyDescent="0.2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spans="1:30" ht="15.75" customHeight="1" x14ac:dyDescent="0.2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spans="1:30" ht="15.75" customHeight="1" x14ac:dyDescent="0.2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spans="1:30" ht="15.75" customHeight="1" x14ac:dyDescent="0.2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spans="1:30" ht="15.75" customHeight="1" x14ac:dyDescent="0.2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spans="1:30" ht="15.75" customHeight="1" x14ac:dyDescent="0.2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spans="1:30" ht="15.75" customHeight="1" x14ac:dyDescent="0.2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spans="1:30" ht="15.75" customHeight="1" x14ac:dyDescent="0.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spans="1:30" ht="15.75" customHeight="1" x14ac:dyDescent="0.2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spans="1:30" ht="15.75" customHeight="1" x14ac:dyDescent="0.2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spans="1:30" ht="15.75" customHeight="1" x14ac:dyDescent="0.2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spans="1:30" ht="15.75" customHeight="1" x14ac:dyDescent="0.2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spans="1:30" ht="15.75" customHeight="1" x14ac:dyDescent="0.2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spans="1:30" ht="15.75" customHeight="1" x14ac:dyDescent="0.2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spans="1:30" ht="15.75" customHeight="1" x14ac:dyDescent="0.2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spans="1:30" ht="15.75" customHeight="1" x14ac:dyDescent="0.2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spans="1:30" ht="15.75" customHeight="1" x14ac:dyDescent="0.2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spans="1:30" ht="15.75" customHeight="1" x14ac:dyDescent="0.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spans="1:30" ht="15.75" customHeight="1" x14ac:dyDescent="0.2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spans="1:30" ht="15.75" customHeight="1" x14ac:dyDescent="0.2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spans="1:30" ht="15.75" customHeight="1" x14ac:dyDescent="0.2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spans="1:30" ht="15.75" customHeight="1" x14ac:dyDescent="0.2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spans="1:30" ht="15.75" customHeight="1" x14ac:dyDescent="0.2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spans="1:30" ht="15.75" customHeight="1" x14ac:dyDescent="0.2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spans="1:30" ht="15.75" customHeight="1" x14ac:dyDescent="0.2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spans="1:30" ht="15.75" customHeight="1" x14ac:dyDescent="0.2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spans="1:30" ht="15.75" customHeight="1" x14ac:dyDescent="0.2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spans="1:30" ht="15.75" customHeight="1" x14ac:dyDescent="0.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spans="1:30" ht="15.75" customHeight="1" x14ac:dyDescent="0.2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spans="1:30" ht="15.75" customHeight="1" x14ac:dyDescent="0.2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spans="1:30" ht="15.75" customHeight="1" x14ac:dyDescent="0.2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spans="1:30" ht="15.75" customHeight="1" x14ac:dyDescent="0.2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spans="1:30" ht="15.75" customHeight="1" x14ac:dyDescent="0.2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spans="1:30" ht="15.75" customHeight="1" x14ac:dyDescent="0.2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spans="1:30" ht="15.75" customHeight="1" x14ac:dyDescent="0.2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spans="1:30" ht="15.75" customHeight="1" x14ac:dyDescent="0.2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spans="1:30" ht="15.75" customHeight="1" x14ac:dyDescent="0.2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spans="1:30" ht="15.75" customHeight="1" x14ac:dyDescent="0.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spans="1:30" ht="15.75" customHeight="1" x14ac:dyDescent="0.2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spans="1:30" ht="15.75" customHeight="1" x14ac:dyDescent="0.2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spans="1:30" ht="15.75" customHeight="1" x14ac:dyDescent="0.2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spans="1:30" ht="15.75" customHeight="1" x14ac:dyDescent="0.2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spans="1:30" ht="15.75" customHeight="1" x14ac:dyDescent="0.2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spans="1:30" ht="15.75" customHeight="1" x14ac:dyDescent="0.2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spans="1:30" ht="15.75" customHeight="1" x14ac:dyDescent="0.2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spans="1:30" ht="15.75" customHeight="1" x14ac:dyDescent="0.2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spans="1:30" ht="15.75" customHeight="1" x14ac:dyDescent="0.2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spans="1:30" ht="15.75" customHeight="1" x14ac:dyDescent="0.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spans="1:30" ht="15.75" customHeight="1" x14ac:dyDescent="0.2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spans="1:30" ht="15.75" customHeight="1" x14ac:dyDescent="0.2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spans="1:30" ht="15.75" customHeight="1" x14ac:dyDescent="0.2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spans="1:30" ht="15.75" customHeight="1" x14ac:dyDescent="0.2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spans="1:30" ht="15.75" customHeight="1" x14ac:dyDescent="0.2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spans="1:30" ht="15.75" customHeight="1" x14ac:dyDescent="0.2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spans="1:30" ht="15.75" customHeight="1" x14ac:dyDescent="0.2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spans="1:30" ht="15.75" customHeight="1" x14ac:dyDescent="0.2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spans="1:30" ht="15.75" customHeight="1" x14ac:dyDescent="0.2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spans="1:30" ht="15.75" customHeight="1" x14ac:dyDescent="0.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spans="1:30" ht="15.75" customHeight="1" x14ac:dyDescent="0.2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spans="1:30" ht="15.75" customHeight="1" x14ac:dyDescent="0.2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spans="1:30" ht="15.75" customHeight="1" x14ac:dyDescent="0.2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spans="1:30" ht="15.75" customHeight="1" x14ac:dyDescent="0.2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spans="1:30" ht="15.75" customHeight="1" x14ac:dyDescent="0.2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spans="1:30" ht="15.75" customHeight="1" x14ac:dyDescent="0.2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spans="1:30" ht="15.75" customHeight="1" x14ac:dyDescent="0.2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spans="1:30" ht="15.75" customHeight="1" x14ac:dyDescent="0.2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spans="1:30" ht="15.75" customHeight="1" x14ac:dyDescent="0.2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spans="1:30" ht="15.75" customHeight="1" x14ac:dyDescent="0.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spans="1:30" ht="15.75" customHeight="1" x14ac:dyDescent="0.2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spans="1:30" ht="15.75" customHeight="1" x14ac:dyDescent="0.2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spans="1:30" ht="15.75" customHeight="1" x14ac:dyDescent="0.2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spans="1:30" ht="15.75" customHeight="1" x14ac:dyDescent="0.2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spans="1:30" ht="15.75" customHeight="1" x14ac:dyDescent="0.2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spans="1:30" ht="15.75" customHeight="1" x14ac:dyDescent="0.2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spans="1:30" ht="15.75" customHeight="1" x14ac:dyDescent="0.2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spans="1:30" ht="15.75" customHeight="1" x14ac:dyDescent="0.2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spans="1:30" ht="15.75" customHeight="1" x14ac:dyDescent="0.2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spans="1:30" ht="15.75" customHeight="1" x14ac:dyDescent="0.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spans="1:30" ht="15.75" customHeight="1" x14ac:dyDescent="0.2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spans="1:30" ht="15.75" customHeight="1" x14ac:dyDescent="0.2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spans="1:30" ht="15.75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spans="1:30" ht="15.75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spans="1:30" ht="15.75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spans="1:30" ht="15.75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spans="1:30" ht="15.75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spans="1:30" ht="15.75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spans="1:30" ht="15.75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spans="1:30" ht="15.75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spans="1:30" ht="15.75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spans="1:30" ht="15.75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spans="1:30" ht="15.75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spans="1:30" ht="15.75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spans="1:30" ht="15.75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spans="1:30" ht="15.75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spans="1:30" ht="15.75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spans="1:30" ht="15.75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spans="1:30" ht="15.75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spans="1:30" ht="15.75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spans="1:30" ht="15.75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spans="1:30" ht="15.75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spans="1:30" ht="15.75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spans="1:30" ht="15.75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spans="1:30" ht="15.75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spans="1:30" ht="15.75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spans="1:30" ht="15.75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spans="1:30" ht="15.75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spans="1:30" ht="15.75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spans="1:30" ht="15.75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spans="1:30" ht="15.75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spans="1:30" ht="15.75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spans="1:30" ht="15.75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spans="1:30" ht="15.75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spans="1:30" ht="15.75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spans="1:30" ht="15.75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spans="1:30" ht="15.75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spans="1:30" ht="15.75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spans="1:30" ht="15.75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spans="1:30" ht="15.75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spans="1:30" ht="15.75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spans="1:30" ht="15.75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spans="1:30" ht="15.75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spans="1:30" ht="15.75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spans="1:30" ht="15.75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spans="1:30" ht="15.75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spans="1:30" ht="15.75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spans="1:30" ht="15.75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spans="1:30" ht="15.75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spans="1:30" ht="15.75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spans="1:30" ht="15.75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spans="1:30" ht="15.75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spans="1:30" ht="15.75" customHeight="1" x14ac:dyDescent="0.2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spans="1:30" ht="15.75" customHeight="1" x14ac:dyDescent="0.2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spans="1:30" ht="15.75" customHeight="1" x14ac:dyDescent="0.2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spans="1:30" ht="15.75" customHeight="1" x14ac:dyDescent="0.2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spans="1:30" ht="15.75" customHeight="1" x14ac:dyDescent="0.2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spans="1:30" ht="15.75" customHeight="1" x14ac:dyDescent="0.2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spans="1:30" ht="15.75" customHeight="1" x14ac:dyDescent="0.2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spans="1:30" ht="15.75" customHeight="1" x14ac:dyDescent="0.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spans="1:30" ht="15.75" customHeight="1" x14ac:dyDescent="0.2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spans="1:30" ht="15.75" customHeight="1" x14ac:dyDescent="0.2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spans="1:30" ht="15.75" customHeight="1" x14ac:dyDescent="0.2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spans="1:30" ht="15.75" customHeight="1" x14ac:dyDescent="0.2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spans="1:30" ht="15.75" customHeight="1" x14ac:dyDescent="0.2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spans="1:30" ht="15.75" customHeight="1" x14ac:dyDescent="0.2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spans="1:30" ht="15.75" customHeight="1" x14ac:dyDescent="0.2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spans="1:30" ht="15.75" customHeight="1" x14ac:dyDescent="0.2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spans="1:30" ht="15.75" customHeight="1" x14ac:dyDescent="0.2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spans="1:30" ht="15.75" customHeight="1" x14ac:dyDescent="0.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spans="1:30" ht="15.75" customHeight="1" x14ac:dyDescent="0.2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spans="1:30" ht="15.75" customHeight="1" x14ac:dyDescent="0.2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spans="1:30" ht="15.75" customHeight="1" x14ac:dyDescent="0.2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spans="1:30" ht="15.75" customHeight="1" x14ac:dyDescent="0.2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spans="1:30" ht="15.75" customHeight="1" x14ac:dyDescent="0.2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spans="1:30" ht="15.75" customHeight="1" x14ac:dyDescent="0.2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spans="1:30" ht="15.75" customHeight="1" x14ac:dyDescent="0.2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spans="1:30" ht="15.75" customHeight="1" x14ac:dyDescent="0.2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spans="1:30" ht="15.75" customHeight="1" x14ac:dyDescent="0.2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spans="1:30" ht="15.75" customHeight="1" x14ac:dyDescent="0.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spans="1:30" ht="15.75" customHeight="1" x14ac:dyDescent="0.2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spans="1:30" ht="15.75" customHeight="1" x14ac:dyDescent="0.2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spans="1:30" ht="15.75" customHeight="1" x14ac:dyDescent="0.2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spans="1:30" ht="15.75" customHeight="1" x14ac:dyDescent="0.2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spans="1:30" ht="15.75" customHeight="1" x14ac:dyDescent="0.2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spans="1:30" ht="15.75" customHeight="1" x14ac:dyDescent="0.2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spans="1:30" ht="15.75" customHeight="1" x14ac:dyDescent="0.2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spans="1:30" ht="15.75" customHeight="1" x14ac:dyDescent="0.2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spans="1:30" ht="15.75" customHeight="1" x14ac:dyDescent="0.2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spans="1:30" ht="15.75" customHeight="1" x14ac:dyDescent="0.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spans="1:30" ht="15.75" customHeight="1" x14ac:dyDescent="0.2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spans="1:30" ht="15.75" customHeight="1" x14ac:dyDescent="0.2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spans="1:30" ht="15.75" customHeight="1" x14ac:dyDescent="0.2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spans="1:30" ht="15.75" customHeight="1" x14ac:dyDescent="0.2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spans="1:30" ht="15.75" customHeight="1" x14ac:dyDescent="0.2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spans="1:30" ht="15.75" customHeight="1" x14ac:dyDescent="0.2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spans="1:30" ht="15.75" customHeight="1" x14ac:dyDescent="0.2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spans="1:30" ht="15.75" customHeight="1" x14ac:dyDescent="0.2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spans="1:30" ht="15.75" customHeight="1" x14ac:dyDescent="0.2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spans="1:30" ht="15.75" customHeight="1" x14ac:dyDescent="0.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spans="1:30" ht="15.75" customHeight="1" x14ac:dyDescent="0.2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spans="1:30" ht="15.75" customHeight="1" x14ac:dyDescent="0.2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spans="1:30" ht="15.75" customHeight="1" x14ac:dyDescent="0.2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spans="1:30" ht="15.75" customHeight="1" x14ac:dyDescent="0.2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spans="1:30" ht="15.75" customHeight="1" x14ac:dyDescent="0.2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spans="1:30" ht="15.75" customHeight="1" x14ac:dyDescent="0.2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spans="1:30" ht="15.75" customHeight="1" x14ac:dyDescent="0.2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spans="1:30" ht="15.75" customHeight="1" x14ac:dyDescent="0.2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spans="1:30" ht="15.75" customHeight="1" x14ac:dyDescent="0.2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spans="1:30" ht="15.75" customHeight="1" x14ac:dyDescent="0.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spans="1:30" ht="15.75" customHeight="1" x14ac:dyDescent="0.2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spans="1:30" ht="15.75" customHeight="1" x14ac:dyDescent="0.2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spans="1:30" ht="15.75" customHeight="1" x14ac:dyDescent="0.2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spans="1:30" ht="15.75" customHeight="1" x14ac:dyDescent="0.2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spans="1:30" ht="15.75" customHeight="1" x14ac:dyDescent="0.2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spans="1:30" ht="15.75" customHeight="1" x14ac:dyDescent="0.2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spans="1:30" ht="15.75" customHeight="1" x14ac:dyDescent="0.2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spans="1:30" ht="15.75" customHeight="1" x14ac:dyDescent="0.2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spans="1:30" ht="15.75" customHeight="1" x14ac:dyDescent="0.2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spans="1:30" ht="15.75" customHeight="1" x14ac:dyDescent="0.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spans="1:30" ht="15.75" customHeight="1" x14ac:dyDescent="0.2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spans="1:30" ht="15.75" customHeight="1" x14ac:dyDescent="0.2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spans="1:30" ht="15.75" customHeight="1" x14ac:dyDescent="0.2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spans="1:30" ht="15.75" customHeight="1" x14ac:dyDescent="0.2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spans="1:30" ht="15.75" customHeight="1" x14ac:dyDescent="0.2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spans="1:30" ht="15.75" customHeight="1" x14ac:dyDescent="0.2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spans="1:30" ht="15.75" customHeight="1" x14ac:dyDescent="0.2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spans="1:30" ht="15.75" customHeight="1" x14ac:dyDescent="0.2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spans="1:30" ht="15.75" customHeight="1" x14ac:dyDescent="0.2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spans="1:30" ht="15.75" customHeight="1" x14ac:dyDescent="0.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spans="1:30" ht="15.75" customHeight="1" x14ac:dyDescent="0.2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spans="1:30" ht="15.75" customHeight="1" x14ac:dyDescent="0.2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spans="1:30" ht="15.75" customHeight="1" x14ac:dyDescent="0.2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spans="1:30" ht="15.75" customHeight="1" x14ac:dyDescent="0.2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spans="1:30" ht="15.75" customHeight="1" x14ac:dyDescent="0.2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spans="1:30" ht="15.75" customHeight="1" x14ac:dyDescent="0.2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spans="1:30" ht="15.75" customHeight="1" x14ac:dyDescent="0.2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spans="1:30" ht="15.75" customHeight="1" x14ac:dyDescent="0.2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spans="1:30" ht="15.75" customHeight="1" x14ac:dyDescent="0.2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spans="1:30" ht="15.75" customHeight="1" x14ac:dyDescent="0.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spans="1:30" ht="15.75" customHeight="1" x14ac:dyDescent="0.2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spans="1:30" ht="15.75" customHeight="1" x14ac:dyDescent="0.2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spans="1:30" ht="15.75" customHeight="1" x14ac:dyDescent="0.2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spans="1:30" ht="15.75" customHeight="1" x14ac:dyDescent="0.2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spans="1:30" ht="15.75" customHeight="1" x14ac:dyDescent="0.2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spans="1:30" ht="15.75" customHeight="1" x14ac:dyDescent="0.2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spans="1:30" ht="15.75" customHeight="1" x14ac:dyDescent="0.2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spans="1:30" ht="15.75" customHeight="1" x14ac:dyDescent="0.2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spans="1:30" ht="15.75" customHeight="1" x14ac:dyDescent="0.2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spans="1:30" ht="15.75" customHeight="1" x14ac:dyDescent="0.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spans="1:30" ht="15.75" customHeight="1" x14ac:dyDescent="0.2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spans="1:30" ht="15.75" customHeight="1" x14ac:dyDescent="0.2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spans="1:30" ht="15.75" customHeight="1" x14ac:dyDescent="0.2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spans="1:30" ht="15.75" customHeight="1" x14ac:dyDescent="0.2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spans="1:30" ht="15.75" customHeight="1" x14ac:dyDescent="0.2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spans="1:30" ht="15.75" customHeight="1" x14ac:dyDescent="0.2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spans="1:30" ht="15.75" customHeight="1" x14ac:dyDescent="0.2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spans="1:30" ht="15.75" customHeight="1" x14ac:dyDescent="0.2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spans="1:30" ht="15.75" customHeight="1" x14ac:dyDescent="0.2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spans="1:30" ht="15.75" customHeight="1" x14ac:dyDescent="0.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spans="1:30" ht="15.75" customHeight="1" x14ac:dyDescent="0.2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spans="1:30" ht="15.75" customHeight="1" x14ac:dyDescent="0.2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spans="1:30" ht="15.75" customHeight="1" x14ac:dyDescent="0.2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spans="1:30" ht="15.75" customHeight="1" x14ac:dyDescent="0.2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spans="1:30" ht="15.75" customHeight="1" x14ac:dyDescent="0.2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spans="1:30" ht="15.75" customHeight="1" x14ac:dyDescent="0.2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spans="1:30" ht="15.75" customHeight="1" x14ac:dyDescent="0.2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spans="1:30" ht="15.75" customHeight="1" x14ac:dyDescent="0.2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spans="1:30" ht="15.75" customHeight="1" x14ac:dyDescent="0.2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spans="1:30" ht="15.75" customHeight="1" x14ac:dyDescent="0.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spans="1:30" ht="15.75" customHeight="1" x14ac:dyDescent="0.2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spans="1:30" ht="15.75" customHeight="1" x14ac:dyDescent="0.2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spans="1:30" ht="15.75" customHeight="1" x14ac:dyDescent="0.2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spans="1:30" ht="15.75" customHeight="1" x14ac:dyDescent="0.2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spans="1:30" ht="15.75" customHeight="1" x14ac:dyDescent="0.2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spans="1:30" ht="15.75" customHeight="1" x14ac:dyDescent="0.2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spans="1:30" ht="15.75" customHeight="1" x14ac:dyDescent="0.2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spans="1:30" ht="15.75" customHeight="1" x14ac:dyDescent="0.2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spans="1:30" ht="15.75" customHeight="1" x14ac:dyDescent="0.2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spans="1:30" ht="15.75" customHeight="1" x14ac:dyDescent="0.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spans="1:30" ht="15.75" customHeight="1" x14ac:dyDescent="0.2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spans="1:30" ht="15.75" customHeight="1" x14ac:dyDescent="0.2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spans="1:30" ht="15.75" customHeight="1" x14ac:dyDescent="0.2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spans="1:30" ht="15.75" customHeight="1" x14ac:dyDescent="0.2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spans="1:30" ht="15.75" customHeight="1" x14ac:dyDescent="0.2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spans="1:30" ht="15.75" customHeight="1" x14ac:dyDescent="0.2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spans="1:30" ht="15.75" customHeight="1" x14ac:dyDescent="0.2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spans="1:30" ht="15.75" customHeight="1" x14ac:dyDescent="0.2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spans="1:30" ht="15.75" customHeight="1" x14ac:dyDescent="0.2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spans="1:30" ht="15.75" customHeight="1" x14ac:dyDescent="0.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spans="1:30" ht="15.75" customHeight="1" x14ac:dyDescent="0.2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spans="1:30" ht="15.75" customHeight="1" x14ac:dyDescent="0.2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spans="1:30" ht="15.75" customHeight="1" x14ac:dyDescent="0.2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spans="1:30" ht="15.75" customHeight="1" x14ac:dyDescent="0.2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spans="1:30" ht="15.75" customHeight="1" x14ac:dyDescent="0.2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spans="1:30" ht="15.75" customHeight="1" x14ac:dyDescent="0.2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spans="1:30" ht="15.75" customHeight="1" x14ac:dyDescent="0.2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spans="1:30" ht="15.75" customHeight="1" x14ac:dyDescent="0.2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spans="1:30" ht="15.75" customHeight="1" x14ac:dyDescent="0.2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spans="1:30" ht="15.75" customHeight="1" x14ac:dyDescent="0.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spans="1:30" ht="15.75" customHeight="1" x14ac:dyDescent="0.2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spans="1:30" ht="15.75" customHeight="1" x14ac:dyDescent="0.2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spans="1:30" ht="15.75" customHeight="1" x14ac:dyDescent="0.2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spans="1:30" ht="15.75" customHeight="1" x14ac:dyDescent="0.2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spans="1:30" ht="15.75" customHeight="1" x14ac:dyDescent="0.2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spans="1:30" ht="15.75" customHeight="1" x14ac:dyDescent="0.2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spans="1:30" ht="15.75" customHeight="1" x14ac:dyDescent="0.2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spans="1:30" ht="15.75" customHeight="1" x14ac:dyDescent="0.2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spans="1:30" ht="15.75" customHeight="1" x14ac:dyDescent="0.2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spans="1:30" ht="15.75" customHeight="1" x14ac:dyDescent="0.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spans="1:30" ht="15.75" customHeight="1" x14ac:dyDescent="0.2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spans="1:30" ht="15.75" customHeight="1" x14ac:dyDescent="0.2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spans="1:30" ht="15.75" customHeight="1" x14ac:dyDescent="0.2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spans="1:30" ht="15.75" customHeight="1" x14ac:dyDescent="0.2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spans="1:30" ht="15.75" customHeight="1" x14ac:dyDescent="0.2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spans="1:30" ht="15.75" customHeight="1" x14ac:dyDescent="0.2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spans="1:30" ht="15.75" customHeight="1" x14ac:dyDescent="0.2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spans="1:30" ht="15.75" customHeight="1" x14ac:dyDescent="0.2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spans="1:30" ht="15.75" customHeight="1" x14ac:dyDescent="0.2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spans="1:30" ht="15.75" customHeight="1" x14ac:dyDescent="0.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spans="1:30" ht="15.75" customHeight="1" x14ac:dyDescent="0.2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spans="1:30" ht="15.75" customHeight="1" x14ac:dyDescent="0.2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spans="1:30" ht="15.75" customHeight="1" x14ac:dyDescent="0.2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spans="1:30" ht="15.75" customHeight="1" x14ac:dyDescent="0.2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spans="1:30" ht="15.75" customHeight="1" x14ac:dyDescent="0.2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spans="1:30" ht="15.75" customHeight="1" x14ac:dyDescent="0.2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spans="1:30" ht="15.75" customHeight="1" x14ac:dyDescent="0.2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spans="1:30" ht="15.75" customHeight="1" x14ac:dyDescent="0.2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spans="1:30" ht="15.75" customHeight="1" x14ac:dyDescent="0.2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spans="1:30" ht="15.75" customHeight="1" x14ac:dyDescent="0.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spans="1:30" ht="15.75" customHeight="1" x14ac:dyDescent="0.2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spans="1:30" ht="15.75" customHeight="1" x14ac:dyDescent="0.2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spans="1:30" ht="15.75" customHeight="1" x14ac:dyDescent="0.2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spans="1:30" ht="15.75" customHeight="1" x14ac:dyDescent="0.2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spans="1:30" ht="15.75" customHeight="1" x14ac:dyDescent="0.2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spans="1:30" ht="15.75" customHeight="1" x14ac:dyDescent="0.2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spans="1:30" ht="15.75" customHeight="1" x14ac:dyDescent="0.2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spans="1:30" ht="15.75" customHeight="1" x14ac:dyDescent="0.2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spans="1:30" ht="15.75" customHeight="1" x14ac:dyDescent="0.2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spans="1:30" ht="15.75" customHeight="1" x14ac:dyDescent="0.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spans="1:30" ht="15.75" customHeight="1" x14ac:dyDescent="0.2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spans="1:30" ht="15.75" customHeight="1" x14ac:dyDescent="0.2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spans="1:30" ht="15.75" customHeight="1" x14ac:dyDescent="0.2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spans="1:30" ht="15.75" customHeight="1" x14ac:dyDescent="0.2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spans="1:30" ht="15.75" customHeight="1" x14ac:dyDescent="0.2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spans="1:30" ht="15.75" customHeight="1" x14ac:dyDescent="0.2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spans="1:30" ht="15.75" customHeight="1" x14ac:dyDescent="0.2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spans="1:30" ht="15.75" customHeight="1" x14ac:dyDescent="0.2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spans="1:30" ht="15.75" customHeight="1" x14ac:dyDescent="0.2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spans="1:30" ht="15.75" customHeight="1" x14ac:dyDescent="0.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spans="1:30" ht="15.75" customHeight="1" x14ac:dyDescent="0.2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spans="1:30" ht="15.75" customHeight="1" x14ac:dyDescent="0.2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spans="1:30" ht="15.75" customHeight="1" x14ac:dyDescent="0.2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spans="1:30" ht="15.75" customHeight="1" x14ac:dyDescent="0.2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spans="1:30" ht="15.75" customHeight="1" x14ac:dyDescent="0.2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spans="1:30" ht="15.75" customHeight="1" x14ac:dyDescent="0.2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spans="1:30" ht="15.75" customHeight="1" x14ac:dyDescent="0.2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spans="1:30" ht="15.75" customHeight="1" x14ac:dyDescent="0.2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spans="1:30" ht="15.75" customHeight="1" x14ac:dyDescent="0.2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spans="1:30" ht="15.75" customHeight="1" x14ac:dyDescent="0.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spans="1:30" ht="15.75" customHeight="1" x14ac:dyDescent="0.2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spans="1:30" ht="15.75" customHeight="1" x14ac:dyDescent="0.2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spans="1:30" ht="15.75" customHeight="1" x14ac:dyDescent="0.2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spans="1:30" ht="15.75" customHeight="1" x14ac:dyDescent="0.2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spans="1:30" ht="15.75" customHeight="1" x14ac:dyDescent="0.2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spans="1:30" ht="15.75" customHeight="1" x14ac:dyDescent="0.2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spans="1:30" ht="15.75" customHeight="1" x14ac:dyDescent="0.2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spans="1:30" ht="15.75" customHeight="1" x14ac:dyDescent="0.2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spans="1:30" ht="15.75" customHeight="1" x14ac:dyDescent="0.2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spans="1:30" ht="15.75" customHeight="1" x14ac:dyDescent="0.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spans="1:30" ht="15.75" customHeight="1" x14ac:dyDescent="0.2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spans="1:30" ht="15.75" customHeight="1" x14ac:dyDescent="0.2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spans="1:30" ht="15.75" customHeight="1" x14ac:dyDescent="0.2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spans="1:30" ht="15.75" customHeight="1" x14ac:dyDescent="0.2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spans="1:30" ht="15.75" customHeight="1" x14ac:dyDescent="0.2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spans="1:30" ht="15.75" customHeight="1" x14ac:dyDescent="0.2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spans="1:30" ht="15.75" customHeight="1" x14ac:dyDescent="0.2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spans="1:30" ht="15.75" customHeight="1" x14ac:dyDescent="0.2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spans="1:30" ht="15.75" customHeight="1" x14ac:dyDescent="0.2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spans="1:30" ht="15.75" customHeight="1" x14ac:dyDescent="0.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spans="1:30" ht="15.75" customHeight="1" x14ac:dyDescent="0.2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spans="1:30" ht="15.75" customHeight="1" x14ac:dyDescent="0.2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spans="1:30" ht="15.75" customHeight="1" x14ac:dyDescent="0.2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spans="1:30" ht="15.75" customHeight="1" x14ac:dyDescent="0.2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spans="1:30" ht="15.75" customHeight="1" x14ac:dyDescent="0.2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spans="1:30" ht="15.75" customHeight="1" x14ac:dyDescent="0.2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spans="1:30" ht="15.75" customHeight="1" x14ac:dyDescent="0.2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spans="1:30" ht="15.75" customHeight="1" x14ac:dyDescent="0.2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spans="1:30" ht="15.75" customHeight="1" x14ac:dyDescent="0.2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spans="1:30" ht="15.75" customHeight="1" x14ac:dyDescent="0.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spans="1:30" ht="15.75" customHeight="1" x14ac:dyDescent="0.2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spans="1:30" ht="15.75" customHeight="1" x14ac:dyDescent="0.2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spans="1:30" ht="15.75" customHeight="1" x14ac:dyDescent="0.2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spans="1:30" ht="15.75" customHeight="1" x14ac:dyDescent="0.2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spans="1:30" ht="15.75" customHeight="1" x14ac:dyDescent="0.2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spans="1:30" ht="15.75" customHeight="1" x14ac:dyDescent="0.2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spans="1:30" ht="15.75" customHeight="1" x14ac:dyDescent="0.2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spans="1:30" ht="15.75" customHeight="1" x14ac:dyDescent="0.2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spans="1:30" ht="15.75" customHeight="1" x14ac:dyDescent="0.2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spans="1:30" ht="15.75" customHeight="1" x14ac:dyDescent="0.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spans="1:30" ht="15.75" customHeight="1" x14ac:dyDescent="0.2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spans="1:30" ht="15.75" customHeight="1" x14ac:dyDescent="0.2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spans="1:30" ht="15.75" customHeight="1" x14ac:dyDescent="0.2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spans="1:30" ht="15.75" customHeight="1" x14ac:dyDescent="0.2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spans="1:30" ht="15.75" customHeight="1" x14ac:dyDescent="0.2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spans="1:30" ht="15.75" customHeight="1" x14ac:dyDescent="0.2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spans="1:30" ht="15.75" customHeight="1" x14ac:dyDescent="0.2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spans="1:30" ht="15.75" customHeight="1" x14ac:dyDescent="0.2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spans="1:30" ht="15.75" customHeight="1" x14ac:dyDescent="0.2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spans="1:30" ht="15.75" customHeight="1" x14ac:dyDescent="0.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spans="1:30" ht="15.75" customHeight="1" x14ac:dyDescent="0.2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spans="1:30" ht="15.75" customHeight="1" x14ac:dyDescent="0.2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spans="1:30" ht="15.75" customHeight="1" x14ac:dyDescent="0.2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spans="1:30" ht="15.75" customHeight="1" x14ac:dyDescent="0.2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spans="1:30" ht="15.75" customHeight="1" x14ac:dyDescent="0.2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spans="1:30" ht="15.75" customHeight="1" x14ac:dyDescent="0.2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spans="1:30" ht="15.75" customHeight="1" x14ac:dyDescent="0.2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spans="1:30" ht="15.75" customHeight="1" x14ac:dyDescent="0.2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spans="1:30" ht="15.75" customHeight="1" x14ac:dyDescent="0.2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spans="1:30" ht="15.75" customHeight="1" x14ac:dyDescent="0.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spans="1:30" ht="15.75" customHeight="1" x14ac:dyDescent="0.2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spans="1:30" ht="15.75" customHeight="1" x14ac:dyDescent="0.2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spans="1:30" ht="15.75" customHeight="1" x14ac:dyDescent="0.2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spans="1:30" ht="15.75" customHeight="1" x14ac:dyDescent="0.2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spans="1:30" ht="15.75" customHeight="1" x14ac:dyDescent="0.2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spans="1:30" ht="15.75" customHeight="1" x14ac:dyDescent="0.2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spans="1:30" ht="15.75" customHeight="1" x14ac:dyDescent="0.2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spans="1:30" ht="15.75" customHeight="1" x14ac:dyDescent="0.2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spans="1:30" ht="15.75" customHeight="1" x14ac:dyDescent="0.2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spans="1:30" ht="15.75" customHeight="1" x14ac:dyDescent="0.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spans="1:30" ht="15.75" customHeight="1" x14ac:dyDescent="0.2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spans="1:30" ht="15.75" customHeight="1" x14ac:dyDescent="0.2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spans="1:30" ht="15.75" customHeight="1" x14ac:dyDescent="0.2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spans="1:30" ht="15.75" customHeight="1" x14ac:dyDescent="0.2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spans="1:30" ht="15.75" customHeight="1" x14ac:dyDescent="0.2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spans="1:30" ht="15.75" customHeight="1" x14ac:dyDescent="0.2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spans="1:30" ht="15.75" customHeight="1" x14ac:dyDescent="0.2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spans="1:30" ht="15.75" customHeight="1" x14ac:dyDescent="0.2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spans="1:30" ht="15.75" customHeight="1" x14ac:dyDescent="0.2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spans="1:30" ht="15.75" customHeight="1" x14ac:dyDescent="0.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spans="1:30" ht="15.75" customHeight="1" x14ac:dyDescent="0.2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spans="1:30" ht="15.75" customHeight="1" x14ac:dyDescent="0.2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spans="1:30" ht="15.75" customHeight="1" x14ac:dyDescent="0.2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spans="1:30" ht="15.75" customHeight="1" x14ac:dyDescent="0.2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spans="1:30" ht="15.75" customHeight="1" x14ac:dyDescent="0.2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spans="1:30" ht="15.75" customHeight="1" x14ac:dyDescent="0.2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spans="1:30" ht="15.75" customHeight="1" x14ac:dyDescent="0.2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spans="1:30" ht="15.75" customHeight="1" x14ac:dyDescent="0.2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spans="1:30" ht="15.75" customHeight="1" x14ac:dyDescent="0.2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spans="1:30" ht="15.75" customHeight="1" x14ac:dyDescent="0.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spans="1:30" ht="15.75" customHeight="1" x14ac:dyDescent="0.2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spans="1:30" ht="15.75" customHeight="1" x14ac:dyDescent="0.2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spans="1:30" ht="15.75" customHeight="1" x14ac:dyDescent="0.2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spans="1:30" ht="15.75" customHeight="1" x14ac:dyDescent="0.2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spans="1:30" ht="15.75" customHeight="1" x14ac:dyDescent="0.2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spans="1:30" ht="15.75" customHeight="1" x14ac:dyDescent="0.2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spans="1:30" ht="15.75" customHeight="1" x14ac:dyDescent="0.2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spans="1:30" ht="15.75" customHeight="1" x14ac:dyDescent="0.2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spans="1:30" ht="15.75" customHeight="1" x14ac:dyDescent="0.2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spans="1:30" ht="15.75" customHeight="1" x14ac:dyDescent="0.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spans="1:30" ht="15.75" customHeight="1" x14ac:dyDescent="0.2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spans="1:30" ht="15.75" customHeight="1" x14ac:dyDescent="0.2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spans="1:30" ht="15.75" customHeight="1" x14ac:dyDescent="0.2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spans="1:30" ht="15.75" customHeight="1" x14ac:dyDescent="0.2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spans="1:30" ht="15.75" customHeight="1" x14ac:dyDescent="0.2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spans="1:30" ht="15.75" customHeight="1" x14ac:dyDescent="0.2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spans="1:30" ht="15.75" customHeight="1" x14ac:dyDescent="0.2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spans="1:30" ht="15.75" customHeight="1" x14ac:dyDescent="0.2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spans="1:30" ht="15.75" customHeight="1" x14ac:dyDescent="0.2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spans="1:30" ht="15.75" customHeight="1" x14ac:dyDescent="0.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spans="1:30" ht="15.75" customHeight="1" x14ac:dyDescent="0.2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spans="1:30" ht="15.75" customHeight="1" x14ac:dyDescent="0.2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spans="1:30" ht="15.75" customHeight="1" x14ac:dyDescent="0.2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spans="1:30" ht="15.75" customHeight="1" x14ac:dyDescent="0.2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spans="1:30" ht="15.75" customHeight="1" x14ac:dyDescent="0.2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spans="1:30" ht="15.75" customHeight="1" x14ac:dyDescent="0.2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spans="1:30" ht="15.75" customHeight="1" x14ac:dyDescent="0.2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spans="1:30" ht="15.75" customHeight="1" x14ac:dyDescent="0.2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spans="1:30" ht="15.75" customHeight="1" x14ac:dyDescent="0.2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spans="1:30" ht="15.75" customHeight="1" x14ac:dyDescent="0.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spans="1:30" ht="15.75" customHeight="1" x14ac:dyDescent="0.2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spans="1:30" ht="15.75" customHeight="1" x14ac:dyDescent="0.2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spans="1:30" ht="15.75" customHeight="1" x14ac:dyDescent="0.2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spans="1:30" ht="15.75" customHeight="1" x14ac:dyDescent="0.2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spans="1:30" ht="15.75" customHeight="1" x14ac:dyDescent="0.2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spans="1:30" ht="15.75" customHeight="1" x14ac:dyDescent="0.2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spans="1:30" ht="15.75" customHeight="1" x14ac:dyDescent="0.2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spans="1:30" ht="15.75" customHeight="1" x14ac:dyDescent="0.2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spans="1:30" ht="15.75" customHeight="1" x14ac:dyDescent="0.2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spans="1:30" ht="15.75" customHeight="1" x14ac:dyDescent="0.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spans="1:30" ht="15.75" customHeight="1" x14ac:dyDescent="0.2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spans="1:30" ht="15.75" customHeight="1" x14ac:dyDescent="0.2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spans="1:30" ht="15.75" customHeight="1" x14ac:dyDescent="0.2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spans="1:30" ht="15.75" customHeight="1" x14ac:dyDescent="0.2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spans="1:30" ht="15.75" customHeight="1" x14ac:dyDescent="0.2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spans="1:30" ht="15.75" customHeight="1" x14ac:dyDescent="0.2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spans="1:30" ht="15.75" customHeight="1" x14ac:dyDescent="0.2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spans="1:30" ht="15.75" customHeight="1" x14ac:dyDescent="0.2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spans="1:30" ht="15.75" customHeight="1" x14ac:dyDescent="0.2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spans="1:30" ht="15.75" customHeight="1" x14ac:dyDescent="0.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spans="1:30" ht="15.75" customHeight="1" x14ac:dyDescent="0.2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spans="1:30" ht="15.75" customHeight="1" x14ac:dyDescent="0.2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spans="1:30" ht="15.75" customHeight="1" x14ac:dyDescent="0.2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spans="1:30" ht="15.75" customHeight="1" x14ac:dyDescent="0.2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spans="1:30" ht="15.75" customHeight="1" x14ac:dyDescent="0.2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spans="1:30" ht="15.75" customHeight="1" x14ac:dyDescent="0.2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spans="1:30" ht="15.75" customHeight="1" x14ac:dyDescent="0.2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spans="1:30" ht="15.75" customHeight="1" x14ac:dyDescent="0.2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spans="1:30" ht="15.75" customHeight="1" x14ac:dyDescent="0.2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spans="1:30" ht="15.75" customHeight="1" x14ac:dyDescent="0.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spans="1:30" ht="15.75" customHeight="1" x14ac:dyDescent="0.2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spans="1:30" ht="15.75" customHeight="1" x14ac:dyDescent="0.2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spans="1:30" ht="15.75" customHeight="1" x14ac:dyDescent="0.2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spans="1:30" ht="15.75" customHeight="1" x14ac:dyDescent="0.2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spans="1:30" ht="15.75" customHeight="1" x14ac:dyDescent="0.2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spans="1:30" ht="15.75" customHeight="1" x14ac:dyDescent="0.2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spans="1:30" ht="15.75" customHeight="1" x14ac:dyDescent="0.2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spans="1:30" ht="15.75" customHeight="1" x14ac:dyDescent="0.2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spans="1:30" ht="15.75" customHeight="1" x14ac:dyDescent="0.2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spans="1:30" ht="15.75" customHeight="1" x14ac:dyDescent="0.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spans="1:30" ht="15.75" customHeight="1" x14ac:dyDescent="0.2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spans="1:30" ht="15.75" customHeight="1" x14ac:dyDescent="0.2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spans="1:30" ht="15.75" customHeight="1" x14ac:dyDescent="0.2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spans="1:30" ht="15.75" customHeight="1" x14ac:dyDescent="0.2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spans="1:30" ht="15.75" customHeight="1" x14ac:dyDescent="0.2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spans="1:30" ht="15.75" customHeight="1" x14ac:dyDescent="0.2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spans="1:30" ht="15.75" customHeight="1" x14ac:dyDescent="0.2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spans="1:30" ht="15.75" customHeight="1" x14ac:dyDescent="0.2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spans="1:30" ht="15.75" customHeight="1" x14ac:dyDescent="0.2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spans="1:30" ht="15.75" customHeight="1" x14ac:dyDescent="0.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spans="1:30" ht="15.75" customHeight="1" x14ac:dyDescent="0.2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spans="1:30" ht="15.75" customHeight="1" x14ac:dyDescent="0.2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spans="1:30" ht="15.75" customHeight="1" x14ac:dyDescent="0.2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spans="1:30" ht="15.75" customHeight="1" x14ac:dyDescent="0.2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spans="1:30" ht="15.75" customHeight="1" x14ac:dyDescent="0.2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spans="1:30" ht="15.75" customHeight="1" x14ac:dyDescent="0.2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spans="1:30" ht="15.75" customHeight="1" x14ac:dyDescent="0.2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spans="1:30" ht="15.75" customHeight="1" x14ac:dyDescent="0.2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spans="1:30" ht="15.75" customHeight="1" x14ac:dyDescent="0.2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spans="1:30" ht="15.75" customHeight="1" x14ac:dyDescent="0.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spans="1:30" ht="15.75" customHeight="1" x14ac:dyDescent="0.2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spans="1:30" ht="15.75" customHeight="1" x14ac:dyDescent="0.2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spans="1:30" ht="15.75" customHeight="1" x14ac:dyDescent="0.2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spans="1:30" ht="15.75" customHeight="1" x14ac:dyDescent="0.2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spans="1:30" ht="15.75" customHeight="1" x14ac:dyDescent="0.2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spans="1:30" ht="15.75" customHeight="1" x14ac:dyDescent="0.2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spans="1:30" ht="15.75" customHeight="1" x14ac:dyDescent="0.2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spans="1:30" ht="15.75" customHeight="1" x14ac:dyDescent="0.2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spans="1:30" ht="15.75" customHeight="1" x14ac:dyDescent="0.2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spans="1:30" ht="15.75" customHeight="1" x14ac:dyDescent="0.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spans="1:30" ht="15.75" customHeight="1" x14ac:dyDescent="0.2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spans="1:30" ht="15.75" customHeight="1" x14ac:dyDescent="0.2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spans="1:30" ht="15.75" customHeight="1" x14ac:dyDescent="0.2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spans="1:30" ht="15.75" customHeight="1" x14ac:dyDescent="0.2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spans="1:30" ht="15.75" customHeight="1" x14ac:dyDescent="0.2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spans="1:30" ht="15.75" customHeight="1" x14ac:dyDescent="0.2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spans="1:30" ht="15.75" customHeight="1" x14ac:dyDescent="0.2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spans="1:30" ht="15.75" customHeight="1" x14ac:dyDescent="0.2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spans="1:30" ht="15.75" customHeight="1" x14ac:dyDescent="0.2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spans="1:30" ht="15.75" customHeight="1" x14ac:dyDescent="0.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spans="1:30" ht="15.75" customHeight="1" x14ac:dyDescent="0.2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spans="1:30" ht="15.75" customHeight="1" x14ac:dyDescent="0.2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spans="1:30" ht="15.75" customHeight="1" x14ac:dyDescent="0.2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spans="1:30" ht="15.75" customHeight="1" x14ac:dyDescent="0.2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spans="1:30" ht="15.75" customHeight="1" x14ac:dyDescent="0.2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spans="1:30" ht="15.75" customHeight="1" x14ac:dyDescent="0.2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spans="1:30" ht="15.75" customHeight="1" x14ac:dyDescent="0.2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spans="1:30" ht="15.75" customHeight="1" x14ac:dyDescent="0.2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</sheetData>
  <sheetProtection algorithmName="SHA-512" hashValue="Dn7hnEfYVN3QsHisx7fmsN/b6qtVWOtT/tj3edK4HeCT0X5oLsYNSXgU97EwZ9veDntplRlR2lGJsoow8OyhGA==" saltValue="p0dFUAM4xRoGM1lT3wVbAw==" spinCount="100000" sheet="1" objects="1" scenarios="1"/>
  <protectedRanges>
    <protectedRange sqref="C8" name="Range1"/>
    <protectedRange sqref="C9" name="Range2"/>
  </protectedRanges>
  <mergeCells count="5">
    <mergeCell ref="A2:I4"/>
    <mergeCell ref="A6:I6"/>
    <mergeCell ref="B7:H7"/>
    <mergeCell ref="B22:H22"/>
    <mergeCell ref="A35:I35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80A9-6F5D-44EF-B7B2-34E40FB9A9DD}">
  <sheetPr>
    <tabColor rgb="FFC00000"/>
  </sheetPr>
  <dimension ref="A1:A137"/>
  <sheetViews>
    <sheetView topLeftCell="A93" workbookViewId="0">
      <selection activeCell="A119" sqref="A119"/>
    </sheetView>
  </sheetViews>
  <sheetFormatPr defaultColWidth="8.875" defaultRowHeight="15" x14ac:dyDescent="0.2"/>
  <cols>
    <col min="1" max="1" width="55.9609375" style="47" customWidth="1"/>
  </cols>
  <sheetData>
    <row r="1" spans="1:1" x14ac:dyDescent="0.2">
      <c r="A1" s="59" t="s">
        <v>486</v>
      </c>
    </row>
    <row r="2" spans="1:1" x14ac:dyDescent="0.2">
      <c r="A2" s="33" t="s">
        <v>487</v>
      </c>
    </row>
    <row r="3" spans="1:1" x14ac:dyDescent="0.2">
      <c r="A3" s="33" t="s">
        <v>488</v>
      </c>
    </row>
    <row r="4" spans="1:1" x14ac:dyDescent="0.2">
      <c r="A4" s="33" t="s">
        <v>489</v>
      </c>
    </row>
    <row r="5" spans="1:1" x14ac:dyDescent="0.2">
      <c r="A5" s="33" t="s">
        <v>490</v>
      </c>
    </row>
    <row r="6" spans="1:1" x14ac:dyDescent="0.2">
      <c r="A6" s="33"/>
    </row>
    <row r="7" spans="1:1" x14ac:dyDescent="0.2">
      <c r="A7" s="33"/>
    </row>
    <row r="8" spans="1:1" x14ac:dyDescent="0.2">
      <c r="A8" s="33"/>
    </row>
    <row r="9" spans="1:1" x14ac:dyDescent="0.2">
      <c r="A9" s="33" t="s">
        <v>491</v>
      </c>
    </row>
    <row r="10" spans="1:1" x14ac:dyDescent="0.2">
      <c r="A10" s="33" t="s">
        <v>492</v>
      </c>
    </row>
    <row r="11" spans="1:1" x14ac:dyDescent="0.2">
      <c r="A11" s="33" t="s">
        <v>493</v>
      </c>
    </row>
    <row r="12" spans="1:1" ht="27.75" x14ac:dyDescent="0.2">
      <c r="A12" s="33" t="s">
        <v>494</v>
      </c>
    </row>
    <row r="13" spans="1:1" x14ac:dyDescent="0.2">
      <c r="A13" s="33" t="s">
        <v>495</v>
      </c>
    </row>
    <row r="14" spans="1:1" x14ac:dyDescent="0.2">
      <c r="A14" s="33"/>
    </row>
    <row r="15" spans="1:1" x14ac:dyDescent="0.2">
      <c r="A15" s="33" t="s">
        <v>496</v>
      </c>
    </row>
    <row r="16" spans="1:1" x14ac:dyDescent="0.2">
      <c r="A16" s="33" t="s">
        <v>497</v>
      </c>
    </row>
    <row r="17" spans="1:1" x14ac:dyDescent="0.2">
      <c r="A17" s="33" t="s">
        <v>498</v>
      </c>
    </row>
    <row r="18" spans="1:1" x14ac:dyDescent="0.2">
      <c r="A18" s="33" t="s">
        <v>499</v>
      </c>
    </row>
    <row r="19" spans="1:1" x14ac:dyDescent="0.2">
      <c r="A19" s="31"/>
    </row>
    <row r="20" spans="1:1" x14ac:dyDescent="0.2">
      <c r="A20" s="31"/>
    </row>
    <row r="21" spans="1:1" x14ac:dyDescent="0.2">
      <c r="A21" s="33" t="s">
        <v>491</v>
      </c>
    </row>
    <row r="22" spans="1:1" x14ac:dyDescent="0.2">
      <c r="A22" s="33"/>
    </row>
    <row r="23" spans="1:1" x14ac:dyDescent="0.2">
      <c r="A23" s="33"/>
    </row>
    <row r="24" spans="1:1" x14ac:dyDescent="0.2">
      <c r="A24" s="33"/>
    </row>
    <row r="25" spans="1:1" ht="27.75" x14ac:dyDescent="0.2">
      <c r="A25" s="33" t="s">
        <v>500</v>
      </c>
    </row>
    <row r="26" spans="1:1" x14ac:dyDescent="0.2">
      <c r="A26" s="33" t="s">
        <v>501</v>
      </c>
    </row>
    <row r="27" spans="1:1" x14ac:dyDescent="0.2">
      <c r="A27" s="33" t="s">
        <v>502</v>
      </c>
    </row>
    <row r="28" spans="1:1" x14ac:dyDescent="0.2">
      <c r="A28" s="33" t="s">
        <v>503</v>
      </c>
    </row>
    <row r="29" spans="1:1" x14ac:dyDescent="0.2">
      <c r="A29" s="33"/>
    </row>
    <row r="30" spans="1:1" x14ac:dyDescent="0.2">
      <c r="A30" s="33" t="s">
        <v>504</v>
      </c>
    </row>
    <row r="31" spans="1:1" x14ac:dyDescent="0.2">
      <c r="A31" s="33" t="s">
        <v>505</v>
      </c>
    </row>
    <row r="32" spans="1:1" ht="27.75" x14ac:dyDescent="0.2">
      <c r="A32" s="33" t="s">
        <v>506</v>
      </c>
    </row>
    <row r="33" spans="1:1" x14ac:dyDescent="0.2">
      <c r="A33" s="33"/>
    </row>
    <row r="34" spans="1:1" ht="27.75" x14ac:dyDescent="0.2">
      <c r="A34" s="33" t="s">
        <v>507</v>
      </c>
    </row>
    <row r="35" spans="1:1" x14ac:dyDescent="0.2">
      <c r="A35" s="33" t="s">
        <v>508</v>
      </c>
    </row>
    <row r="36" spans="1:1" x14ac:dyDescent="0.2">
      <c r="A36" s="33" t="s">
        <v>509</v>
      </c>
    </row>
    <row r="37" spans="1:1" x14ac:dyDescent="0.2">
      <c r="A37" s="33"/>
    </row>
    <row r="38" spans="1:1" x14ac:dyDescent="0.2">
      <c r="A38" s="33" t="s">
        <v>510</v>
      </c>
    </row>
    <row r="39" spans="1:1" x14ac:dyDescent="0.2">
      <c r="A39" s="33"/>
    </row>
    <row r="40" spans="1:1" x14ac:dyDescent="0.2">
      <c r="A40" s="33" t="s">
        <v>511</v>
      </c>
    </row>
    <row r="41" spans="1:1" x14ac:dyDescent="0.2">
      <c r="A41" s="33"/>
    </row>
    <row r="42" spans="1:1" x14ac:dyDescent="0.2">
      <c r="A42" s="33" t="s">
        <v>512</v>
      </c>
    </row>
    <row r="43" spans="1:1" x14ac:dyDescent="0.2">
      <c r="A43" s="33"/>
    </row>
    <row r="44" spans="1:1" x14ac:dyDescent="0.2">
      <c r="A44" s="33" t="s">
        <v>513</v>
      </c>
    </row>
    <row r="45" spans="1:1" x14ac:dyDescent="0.2">
      <c r="A45" s="33"/>
    </row>
    <row r="46" spans="1:1" x14ac:dyDescent="0.2">
      <c r="A46" s="33"/>
    </row>
    <row r="47" spans="1:1" x14ac:dyDescent="0.2">
      <c r="A47" s="33" t="s">
        <v>514</v>
      </c>
    </row>
    <row r="48" spans="1:1" x14ac:dyDescent="0.2">
      <c r="A48" s="33"/>
    </row>
    <row r="49" spans="1:1" x14ac:dyDescent="0.2">
      <c r="A49" s="33" t="s">
        <v>515</v>
      </c>
    </row>
    <row r="50" spans="1:1" x14ac:dyDescent="0.2">
      <c r="A50" s="33" t="s">
        <v>516</v>
      </c>
    </row>
    <row r="51" spans="1:1" ht="27.75" x14ac:dyDescent="0.2">
      <c r="A51" s="33" t="s">
        <v>517</v>
      </c>
    </row>
    <row r="52" spans="1:1" ht="27.75" x14ac:dyDescent="0.2">
      <c r="A52" s="33" t="s">
        <v>518</v>
      </c>
    </row>
    <row r="53" spans="1:1" x14ac:dyDescent="0.2">
      <c r="A53" s="33"/>
    </row>
    <row r="54" spans="1:1" x14ac:dyDescent="0.2">
      <c r="A54" s="33" t="s">
        <v>519</v>
      </c>
    </row>
    <row r="55" spans="1:1" x14ac:dyDescent="0.2">
      <c r="A55" s="33" t="s">
        <v>520</v>
      </c>
    </row>
    <row r="56" spans="1:1" x14ac:dyDescent="0.2">
      <c r="A56" s="33" t="s">
        <v>521</v>
      </c>
    </row>
    <row r="57" spans="1:1" x14ac:dyDescent="0.2">
      <c r="A57" s="33"/>
    </row>
    <row r="58" spans="1:1" x14ac:dyDescent="0.2">
      <c r="A58" s="33" t="s">
        <v>522</v>
      </c>
    </row>
    <row r="59" spans="1:1" x14ac:dyDescent="0.2">
      <c r="A59" s="33" t="s">
        <v>523</v>
      </c>
    </row>
    <row r="60" spans="1:1" x14ac:dyDescent="0.2">
      <c r="A60" s="33"/>
    </row>
    <row r="61" spans="1:1" x14ac:dyDescent="0.2">
      <c r="A61" s="33"/>
    </row>
    <row r="62" spans="1:1" x14ac:dyDescent="0.2">
      <c r="A62" s="33"/>
    </row>
    <row r="63" spans="1:1" x14ac:dyDescent="0.2">
      <c r="A63" s="33" t="s">
        <v>523</v>
      </c>
    </row>
    <row r="64" spans="1:1" x14ac:dyDescent="0.2">
      <c r="A64" s="33" t="s">
        <v>524</v>
      </c>
    </row>
    <row r="65" spans="1:1" x14ac:dyDescent="0.2">
      <c r="A65" s="33" t="s">
        <v>525</v>
      </c>
    </row>
    <row r="66" spans="1:1" x14ac:dyDescent="0.2">
      <c r="A66" s="33"/>
    </row>
    <row r="67" spans="1:1" x14ac:dyDescent="0.2">
      <c r="A67" s="33" t="s">
        <v>526</v>
      </c>
    </row>
    <row r="68" spans="1:1" x14ac:dyDescent="0.2">
      <c r="A68" s="33" t="s">
        <v>527</v>
      </c>
    </row>
    <row r="69" spans="1:1" x14ac:dyDescent="0.2">
      <c r="A69" s="33"/>
    </row>
    <row r="70" spans="1:1" x14ac:dyDescent="0.2">
      <c r="A70" s="33" t="s">
        <v>528</v>
      </c>
    </row>
    <row r="71" spans="1:1" ht="27.75" x14ac:dyDescent="0.2">
      <c r="A71" s="33" t="s">
        <v>529</v>
      </c>
    </row>
    <row r="72" spans="1:1" x14ac:dyDescent="0.2">
      <c r="A72" s="33" t="s">
        <v>530</v>
      </c>
    </row>
    <row r="73" spans="1:1" ht="27.75" x14ac:dyDescent="0.2">
      <c r="A73" s="33" t="s">
        <v>531</v>
      </c>
    </row>
    <row r="74" spans="1:1" x14ac:dyDescent="0.2">
      <c r="A74" s="33" t="s">
        <v>532</v>
      </c>
    </row>
    <row r="75" spans="1:1" x14ac:dyDescent="0.2">
      <c r="A75" s="33"/>
    </row>
    <row r="76" spans="1:1" x14ac:dyDescent="0.2">
      <c r="A76" s="31"/>
    </row>
    <row r="77" spans="1:1" ht="27.75" x14ac:dyDescent="0.2">
      <c r="A77" s="33" t="s">
        <v>533</v>
      </c>
    </row>
    <row r="78" spans="1:1" x14ac:dyDescent="0.2">
      <c r="A78" s="33"/>
    </row>
    <row r="79" spans="1:1" x14ac:dyDescent="0.2">
      <c r="A79" s="33" t="s">
        <v>534</v>
      </c>
    </row>
    <row r="80" spans="1:1" x14ac:dyDescent="0.2">
      <c r="A80" s="33" t="e">
        <f>"Reconstituir 1 frasco de 1000 mg com 5 mL de AD. Puxar " &amp; ROUND(IF((#REF!*100)&lt;=2000, (#REF!*100)/1000*5, 2000/1000*5), 2) &amp; " mL e diluir em 50 mL de SF 0,9%. Administrar EV em 30 minutos."</f>
        <v>#REF!</v>
      </c>
    </row>
    <row r="81" spans="1:1" x14ac:dyDescent="0.2">
      <c r="A81" s="33" t="s">
        <v>535</v>
      </c>
    </row>
    <row r="82" spans="1:1" x14ac:dyDescent="0.2">
      <c r="A82" s="33" t="s">
        <v>536</v>
      </c>
    </row>
    <row r="83" spans="1:1" x14ac:dyDescent="0.2">
      <c r="A83" s="33" t="s">
        <v>537</v>
      </c>
    </row>
    <row r="84" spans="1:1" x14ac:dyDescent="0.2">
      <c r="A84" s="33" t="s">
        <v>538</v>
      </c>
    </row>
    <row r="85" spans="1:1" x14ac:dyDescent="0.2">
      <c r="A85" s="33" t="s">
        <v>539</v>
      </c>
    </row>
    <row r="86" spans="1:1" x14ac:dyDescent="0.2">
      <c r="A86" s="33" t="s">
        <v>540</v>
      </c>
    </row>
    <row r="87" spans="1:1" x14ac:dyDescent="0.2">
      <c r="A87" s="33" t="s">
        <v>540</v>
      </c>
    </row>
    <row r="88" spans="1:1" x14ac:dyDescent="0.2">
      <c r="A88" s="33" t="s">
        <v>541</v>
      </c>
    </row>
    <row r="89" spans="1:1" x14ac:dyDescent="0.2">
      <c r="A89" s="33" t="s">
        <v>542</v>
      </c>
    </row>
    <row r="90" spans="1:1" x14ac:dyDescent="0.2">
      <c r="A90" s="33" t="s">
        <v>543</v>
      </c>
    </row>
    <row r="91" spans="1:1" x14ac:dyDescent="0.2">
      <c r="A91" s="33" t="s">
        <v>544</v>
      </c>
    </row>
    <row r="92" spans="1:1" x14ac:dyDescent="0.2">
      <c r="A92" s="33" t="s">
        <v>545</v>
      </c>
    </row>
    <row r="93" spans="1:1" ht="27.75" x14ac:dyDescent="0.2">
      <c r="A93" s="33" t="s">
        <v>546</v>
      </c>
    </row>
    <row r="94" spans="1:1" x14ac:dyDescent="0.2">
      <c r="A94" s="33"/>
    </row>
    <row r="95" spans="1:1" x14ac:dyDescent="0.2">
      <c r="A95" s="33" t="s">
        <v>547</v>
      </c>
    </row>
    <row r="96" spans="1:1" x14ac:dyDescent="0.2">
      <c r="A96" s="33"/>
    </row>
    <row r="97" spans="1:1" x14ac:dyDescent="0.2">
      <c r="A97" s="34"/>
    </row>
    <row r="98" spans="1:1" x14ac:dyDescent="0.2">
      <c r="A98" s="33"/>
    </row>
    <row r="99" spans="1:1" x14ac:dyDescent="0.2">
      <c r="A99" s="33" t="s">
        <v>548</v>
      </c>
    </row>
    <row r="100" spans="1:1" x14ac:dyDescent="0.2">
      <c r="A100" s="33" t="s">
        <v>549</v>
      </c>
    </row>
    <row r="101" spans="1:1" x14ac:dyDescent="0.2">
      <c r="A101" s="33" t="s">
        <v>550</v>
      </c>
    </row>
    <row r="102" spans="1:1" x14ac:dyDescent="0.2">
      <c r="A102" s="33" t="s">
        <v>551</v>
      </c>
    </row>
    <row r="103" spans="1:1" x14ac:dyDescent="0.2">
      <c r="A103" s="33" t="s">
        <v>549</v>
      </c>
    </row>
    <row r="104" spans="1:1" x14ac:dyDescent="0.2">
      <c r="A104" s="33"/>
    </row>
    <row r="105" spans="1:1" x14ac:dyDescent="0.2">
      <c r="A105" s="33" t="s">
        <v>552</v>
      </c>
    </row>
    <row r="106" spans="1:1" x14ac:dyDescent="0.2">
      <c r="A106" s="33" t="s">
        <v>550</v>
      </c>
    </row>
    <row r="107" spans="1:1" x14ac:dyDescent="0.2">
      <c r="A107" s="33"/>
    </row>
    <row r="108" spans="1:1" x14ac:dyDescent="0.2">
      <c r="A108" s="33" t="s">
        <v>553</v>
      </c>
    </row>
    <row r="109" spans="1:1" x14ac:dyDescent="0.2">
      <c r="A109" s="33" t="s">
        <v>554</v>
      </c>
    </row>
    <row r="110" spans="1:1" x14ac:dyDescent="0.2">
      <c r="A110" s="33"/>
    </row>
    <row r="111" spans="1:1" x14ac:dyDescent="0.2">
      <c r="A111" s="33" t="s">
        <v>548</v>
      </c>
    </row>
    <row r="112" spans="1:1" ht="27.75" x14ac:dyDescent="0.2">
      <c r="A112" s="33" t="s">
        <v>555</v>
      </c>
    </row>
    <row r="113" spans="1:1" ht="27.75" x14ac:dyDescent="0.2">
      <c r="A113" s="33" t="s">
        <v>556</v>
      </c>
    </row>
    <row r="114" spans="1:1" ht="27.75" x14ac:dyDescent="0.2">
      <c r="A114" s="33" t="s">
        <v>557</v>
      </c>
    </row>
    <row r="116" spans="1:1" x14ac:dyDescent="0.2">
      <c r="A116" s="25" t="s">
        <v>558</v>
      </c>
    </row>
    <row r="117" spans="1:1" x14ac:dyDescent="0.2">
      <c r="A117" s="25" t="s">
        <v>559</v>
      </c>
    </row>
    <row r="118" spans="1:1" x14ac:dyDescent="0.2">
      <c r="A118" s="25" t="s">
        <v>560</v>
      </c>
    </row>
    <row r="119" spans="1:1" x14ac:dyDescent="0.2">
      <c r="A119" s="25" t="s">
        <v>561</v>
      </c>
    </row>
    <row r="120" spans="1:1" x14ac:dyDescent="0.2">
      <c r="A120" s="25" t="s">
        <v>504</v>
      </c>
    </row>
    <row r="121" spans="1:1" x14ac:dyDescent="0.2">
      <c r="A121" s="25"/>
    </row>
    <row r="122" spans="1:1" x14ac:dyDescent="0.2">
      <c r="A122" s="25"/>
    </row>
    <row r="123" spans="1:1" x14ac:dyDescent="0.2">
      <c r="A123" s="25"/>
    </row>
    <row r="124" spans="1:1" x14ac:dyDescent="0.2">
      <c r="A124" s="25" t="s">
        <v>562</v>
      </c>
    </row>
    <row r="125" spans="1:1" x14ac:dyDescent="0.2">
      <c r="A125" s="25" t="s">
        <v>563</v>
      </c>
    </row>
    <row r="126" spans="1:1" x14ac:dyDescent="0.2">
      <c r="A126" s="25" t="s">
        <v>564</v>
      </c>
    </row>
    <row r="127" spans="1:1" x14ac:dyDescent="0.2">
      <c r="A127" s="25" t="s">
        <v>565</v>
      </c>
    </row>
    <row r="128" spans="1:1" x14ac:dyDescent="0.2">
      <c r="A128" s="25" t="s">
        <v>566</v>
      </c>
    </row>
    <row r="129" spans="1:1" x14ac:dyDescent="0.2">
      <c r="A129" s="25"/>
    </row>
    <row r="130" spans="1:1" x14ac:dyDescent="0.2">
      <c r="A130" s="25"/>
    </row>
    <row r="131" spans="1:1" x14ac:dyDescent="0.2">
      <c r="A131" s="25"/>
    </row>
    <row r="132" spans="1:1" x14ac:dyDescent="0.2">
      <c r="A132" s="25"/>
    </row>
    <row r="133" spans="1:1" x14ac:dyDescent="0.2">
      <c r="A133" s="25"/>
    </row>
    <row r="134" spans="1:1" x14ac:dyDescent="0.2">
      <c r="A134" s="25"/>
    </row>
    <row r="135" spans="1:1" x14ac:dyDescent="0.2">
      <c r="A135" s="25" t="s">
        <v>567</v>
      </c>
    </row>
    <row r="136" spans="1:1" x14ac:dyDescent="0.2">
      <c r="A136" s="25" t="s">
        <v>568</v>
      </c>
    </row>
    <row r="137" spans="1:1" x14ac:dyDescent="0.2">
      <c r="A137" s="25" t="s">
        <v>569</v>
      </c>
    </row>
  </sheetData>
  <sheetProtection algorithmName="SHA-512" hashValue="kd2QaU1fLvEUcVDk2e7eDSaeerUBSLuRjtCRKkt7LlxbNs1m01FcEujOBZzT073nHx86lyv9zpv42P0WRjEfnw==" saltValue="Gw12DBez7cEc2Q17S8Q3gA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1293-3B0B-46E2-9907-259886C47759}">
  <sheetPr>
    <tabColor theme="1" tint="0.499984740745262"/>
  </sheetPr>
  <dimension ref="A1:G1179"/>
  <sheetViews>
    <sheetView workbookViewId="0">
      <selection activeCell="C13" sqref="C13"/>
    </sheetView>
  </sheetViews>
  <sheetFormatPr defaultColWidth="14.390625" defaultRowHeight="15" x14ac:dyDescent="0.2"/>
  <cols>
    <col min="1" max="1" width="60.66796875" style="27" customWidth="1"/>
    <col min="2" max="2" width="60.66796875" style="28" customWidth="1"/>
    <col min="3" max="3" width="60.66796875" style="25" customWidth="1"/>
    <col min="4" max="4" width="60.66796875" style="37" customWidth="1"/>
    <col min="5" max="5" width="60.66796875" style="26" customWidth="1"/>
    <col min="6" max="6" width="54.8828125" style="26" customWidth="1"/>
    <col min="7" max="19" width="10.89453125" style="26" customWidth="1"/>
    <col min="20" max="16384" width="14.390625" style="26"/>
  </cols>
  <sheetData>
    <row r="1" spans="1:7" x14ac:dyDescent="0.2">
      <c r="A1" s="107" t="s">
        <v>0</v>
      </c>
      <c r="B1" s="58">
        <v>7</v>
      </c>
      <c r="D1" s="31"/>
      <c r="E1" s="41"/>
      <c r="F1" s="27"/>
      <c r="G1" s="171"/>
    </row>
    <row r="2" spans="1:7" x14ac:dyDescent="0.2">
      <c r="A2" s="108" t="s">
        <v>1</v>
      </c>
      <c r="B2" s="105">
        <v>22.5</v>
      </c>
      <c r="D2" s="33"/>
      <c r="E2" s="49"/>
      <c r="F2" s="27"/>
      <c r="G2" s="171"/>
    </row>
    <row r="3" spans="1:7" x14ac:dyDescent="0.2">
      <c r="A3" s="170" t="s">
        <v>2</v>
      </c>
      <c r="B3" s="60"/>
      <c r="C3" s="40"/>
      <c r="D3" s="61" t="s">
        <v>3</v>
      </c>
      <c r="E3" s="50"/>
      <c r="F3" s="59" t="s">
        <v>4</v>
      </c>
      <c r="G3" s="27"/>
    </row>
    <row r="4" spans="1:7" ht="27.75" x14ac:dyDescent="0.2">
      <c r="A4" s="109" t="s">
        <v>5</v>
      </c>
      <c r="B4" s="28" t="str">
        <f>"Tomar " &amp; ROUND(IF((B2*50)&lt;=1750, IF(((B2*50)/3)/(250/5)&lt;=12, ((B2*50)/3)/(250/5), 10), IF((1750/3)/(250/5)&lt;=12, (1750/3)/(250/5), 10)), 1) &amp; " mL por via oral de 8/8 horas por 7 a 10 dias."</f>
        <v>Tomar 7,5 mL por via oral de 8/8 horas por 7 a 10 dias.</v>
      </c>
      <c r="C4" s="39"/>
      <c r="D4" s="62" t="s">
        <v>6</v>
      </c>
      <c r="E4" s="53" t="str">
        <f>IF(B1&lt;0.9,"Administrar "&amp;ROUNDUP(B2*0.3,1)&amp;" mL por via oral de 24/24 horas. Por 10 dias.",IF(AND(B1&gt;=0.9,B1&lt;=0.11),"Administrar "&amp;ROUNDUP(B2*0.35,1)&amp;" mL por via oral de 24/24 horas. Por 10 dias.",IF(B1&gt;=1,IF(B2&lt;=15,"Administrar 3 mL por via oral de 24/24 horas. Por 10 dias.",IF(AND(B2&gt;15,B2&lt;=23),"Administrar 4,5 mL por via oral de 24/24 horas. Por 10 dias.",IF(AND(B2&gt;23,B2&lt;=40),"Administrar 6 mL por via oral de 24/24 horas. Por 10 dias.","Administrar 7,5 mL por via oral de 24/24 horas. Por 10 dias."))))))</f>
        <v>Administrar 4,5 mL por via oral de 24/24 horas. Por 10 dias.</v>
      </c>
      <c r="F4" s="51" t="s">
        <v>7</v>
      </c>
      <c r="G4" s="27"/>
    </row>
    <row r="5" spans="1:7" ht="41.25" x14ac:dyDescent="0.2">
      <c r="A5" s="57" t="s">
        <v>8</v>
      </c>
      <c r="B5" s="28" t="str">
        <f>"Tomar " &amp; ROUND(IF((B2*50)&lt;=1750, IF(((B2*50)/3)/(400/5)&lt;=12, ((B2*50)/3)/(400/5), 10), IF((1750/3)/(400/5)&lt;=12, (1750/3)/(400/5), 10)), 1) &amp; " mL por via oral de 8/8 horas por 7 a 10 dias."</f>
        <v>Tomar 4,7 mL por via oral de 8/8 horas por 7 a 10 dias.</v>
      </c>
      <c r="D5" s="59" t="s">
        <v>9</v>
      </c>
      <c r="E5" s="50"/>
      <c r="F5" s="51" t="s">
        <v>10</v>
      </c>
      <c r="G5" s="27"/>
    </row>
    <row r="6" spans="1:7" ht="27.75" x14ac:dyDescent="0.2">
      <c r="A6" s="57" t="s">
        <v>11</v>
      </c>
      <c r="B6" s="28" t="str">
        <f>"Tomar " &amp; ROUND(IF((B2*20)&lt;=1500, IF(((B2*20)/3)/(250/5)&lt;=10, ((B2*20)/3)/(250/5), 10), IF((1500/3)/(250/5)&lt;=10, (1500/3)/(250/5), 10)), 1) &amp; " mL por via oral de 8/8 horas por 7 a 10 dias."</f>
        <v>Tomar 3 mL por via oral de 8/8 horas por 7 a 10 dias.</v>
      </c>
      <c r="D6" s="62" t="s">
        <v>6</v>
      </c>
      <c r="E6" s="53" t="str">
        <f>"Oferecer "&amp;IF(B1&lt;0.3,"1,2",IF(AND(B1&gt;=0.3,B1&lt;=0.5),"2",IF(AND(B1&gt;=0.6,B1&lt;=0.11),"2,5",IF(B2&lt;=14,"3",IF(AND(B2&gt;14,B2&lt;=23),"4,5",IF(AND(B2&gt;23,B2&lt;=40),"6","7,5"))))))&amp;" mL de 12 em 12 horas, por 5 dias. Necessário 10 cápsulas ao total."</f>
        <v>Oferecer 4,5 mL de 12 em 12 horas, por 5 dias. Necessário 10 cápsulas ao total.</v>
      </c>
      <c r="F6" s="51" t="s">
        <v>12</v>
      </c>
      <c r="G6" s="27"/>
    </row>
    <row r="7" spans="1:7" ht="27.75" x14ac:dyDescent="0.2">
      <c r="A7" s="57" t="s">
        <v>13</v>
      </c>
      <c r="B7" s="28" t="str">
        <f>"Tomar " &amp; ROUND(IF((B2*25)&lt;=1750, IF(((B2*25)/2)/(400/5)&lt;=10, ((B2*25)/2)/(400/5), 10), IF((1750/2)/(400/5)&lt;=10, (1750/2)/(400/5), 10)), 1) &amp; " mL por via oral de 12/12 horas por 7 a 10 dias."</f>
        <v>Tomar 3,5 mL por via oral de 12/12 horas por 7 a 10 dias.</v>
      </c>
      <c r="D7" s="33"/>
      <c r="E7" s="49"/>
      <c r="F7" s="51" t="s">
        <v>14</v>
      </c>
      <c r="G7" s="27"/>
    </row>
    <row r="8" spans="1:7" ht="27.75" x14ac:dyDescent="0.2">
      <c r="A8" s="57" t="s">
        <v>15</v>
      </c>
      <c r="B8" s="28" t="str">
        <f>"Tomar " &amp; ROUND(IF((B2*90)&lt;=4000, IF(((B2*90)/2)/(600/5)&lt;=10, ((B2*90)/2)/(600/5), 10), IF((4000/2)/(600/5)&lt;=10, (4000/2)/(600/5), 10)), 1) &amp; " mL por via oral de 12/12 horas por 7 a 10 dias."</f>
        <v>Tomar 8,4 mL por via oral de 12/12 horas por 7 a 10 dias.</v>
      </c>
      <c r="D8" s="33"/>
      <c r="E8" s="49"/>
      <c r="F8" s="52" t="s">
        <v>16</v>
      </c>
      <c r="G8" s="27"/>
    </row>
    <row r="9" spans="1:7" x14ac:dyDescent="0.2">
      <c r="A9" s="57" t="s">
        <v>17</v>
      </c>
      <c r="B9" s="28" t="str">
        <f>"Tomar " &amp; ROUND(IF((B2*20)&lt;=1750, IF(((B2*20)/2)/(200/5)&lt;=12, ((B2*20)/2)/(200/5), 12), IF((1750/2)/(200/5)&lt;=12, (1750/2)/(200/5), 12)), 1) &amp; " mL por via oral de 12/12 horas por 7 a 10 dias."</f>
        <v>Tomar 5,6 mL por via oral de 12/12 horas por 7 a 10 dias.</v>
      </c>
      <c r="C9" s="35"/>
      <c r="D9" s="33"/>
      <c r="E9" s="92"/>
      <c r="F9" s="27"/>
      <c r="G9" s="171"/>
    </row>
    <row r="10" spans="1:7" x14ac:dyDescent="0.2">
      <c r="A10" s="57" t="s">
        <v>18</v>
      </c>
      <c r="B10" s="28" t="str">
        <f>IF(B2&lt;35,"Não se aplica","Tomar " &amp; ROUND(IF((B2*50)&lt;=1750, ((B2*50)/2)/875, (1750/2)/875), 1) &amp; " comprimidos por via oral de 12/12 horas por 7 dias.")</f>
        <v>Não se aplica</v>
      </c>
      <c r="D10" s="33"/>
      <c r="E10" s="146" t="s">
        <v>19</v>
      </c>
      <c r="F10" s="65" t="s">
        <v>20</v>
      </c>
      <c r="G10" s="171"/>
    </row>
    <row r="11" spans="1:7" x14ac:dyDescent="0.2">
      <c r="A11" s="57" t="s">
        <v>21</v>
      </c>
      <c r="B11" s="28" t="str">
        <f>"Tomar " &amp; ROUND(IF((B2*20)&lt;=1000, ((B2*20)/2)/(250/5), (1000/2)/(250/5)), 1) &amp; " mL por via oral de 12/12 horas por 7 a 10 dias."</f>
        <v>Tomar 4,5 mL por via oral de 12/12 horas por 7 a 10 dias.</v>
      </c>
      <c r="D11" s="125"/>
      <c r="E11" s="62" t="s">
        <v>22</v>
      </c>
      <c r="F11" s="95" t="s">
        <v>23</v>
      </c>
      <c r="G11" s="27"/>
    </row>
    <row r="12" spans="1:7" x14ac:dyDescent="0.2">
      <c r="A12" s="57" t="s">
        <v>24</v>
      </c>
      <c r="B12" s="28" t="str">
        <f>"Tomar " &amp; ROUND(IF((B2*20)&lt;=1000, ((B2*20)/2)/(250/5), (1000/2)/(250/5)), 1) &amp; " mL por via oral de 12/12 horas por 7 a 10 dias."</f>
        <v>Tomar 4,5 mL por via oral de 12/12 horas por 7 a 10 dias.</v>
      </c>
      <c r="D12" s="33"/>
      <c r="E12" s="49"/>
      <c r="F12" s="93" t="s">
        <v>25</v>
      </c>
      <c r="G12" s="27"/>
    </row>
    <row r="13" spans="1:7" x14ac:dyDescent="0.2">
      <c r="A13" s="57" t="s">
        <v>26</v>
      </c>
      <c r="B13" s="28" t="str">
        <f>"Tomar " &amp; ROUND(IF((B2*20)&lt;=1000, ((B2*20)/2)/(375/5), (1000/2)/(375/5)), 1) &amp; " mL por via oral de 12/12 horas por 7 a 10 dias."</f>
        <v>Tomar 3 mL por via oral de 12/12 horas por 7 a 10 dias.</v>
      </c>
      <c r="D13" s="33"/>
      <c r="E13" s="49"/>
      <c r="F13" s="93" t="s">
        <v>27</v>
      </c>
      <c r="G13" s="27"/>
    </row>
    <row r="14" spans="1:7" ht="68.25" x14ac:dyDescent="0.2">
      <c r="A14" s="57" t="s">
        <v>28</v>
      </c>
      <c r="B14" s="28" t="str">
        <f>"Tomar " &amp; ROUND(IF((B2*25)&lt;=2000, B2*25/50/4, 2000/50/4), 1) &amp; " mL por via oral de 6/6 horas ou " &amp; ROUND(IF((B2*25)&lt;=2000, B2*25/50/2, 2000/50/2), 1) &amp; " mL por via oral de 12/12 horas por 7 a 10 dias."</f>
        <v>Tomar 2,8 mL por via oral de 6/6 horas ou 5,6 mL por via oral de 12/12 horas por 7 a 10 dias.</v>
      </c>
      <c r="D14" s="33"/>
      <c r="E14" s="49"/>
      <c r="F14" s="93" t="s">
        <v>29</v>
      </c>
      <c r="G14" s="27"/>
    </row>
    <row r="15" spans="1:7" ht="41.25" x14ac:dyDescent="0.2">
      <c r="A15" s="57" t="s">
        <v>30</v>
      </c>
      <c r="B15" s="28" t="str">
        <f>"Tomar " &amp; ROUND(IF((B2*10)&lt;=1000, (B2*10)/(200/5), 1000/(200/5)), 1) &amp; " mL por via oral uma vez ao dia por 3 a 5 dias."</f>
        <v>Tomar 5,6 mL por via oral uma vez ao dia por 3 a 5 dias.</v>
      </c>
      <c r="D15" s="33"/>
      <c r="E15" s="49"/>
      <c r="F15" s="93" t="s">
        <v>31</v>
      </c>
      <c r="G15" s="27"/>
    </row>
    <row r="16" spans="1:7" ht="54.75" x14ac:dyDescent="0.2">
      <c r="A16" s="57" t="s">
        <v>32</v>
      </c>
      <c r="B16" s="28" t="str">
        <f>"Tomar " &amp; ROUND(IF((B2*7.5)&lt;=1000, IF(((B2*7.5)/2)/(125/5)&lt;=10, ((B2*7.5)/2)/(125/5), 10), IF((1000/2)/(125/5)&lt;=10, (1000/2)/(125/5), 10)), 1) &amp; " mL por via oral de 12/12 horas por 7 a 14 dias."</f>
        <v>Tomar 3,4 mL por via oral de 12/12 horas por 7 a 14 dias.</v>
      </c>
      <c r="D16" s="33"/>
      <c r="E16" s="49"/>
      <c r="F16" s="94" t="s">
        <v>33</v>
      </c>
      <c r="G16" s="27"/>
    </row>
    <row r="17" spans="1:6" x14ac:dyDescent="0.2">
      <c r="A17" s="57" t="s">
        <v>34</v>
      </c>
      <c r="B17" s="28" t="str">
        <f>"Tomar " &amp; ROUND(IF((B2*7.5)&lt;=1000, IF(((B2*7.5)/2)/(250/5)&lt;=10, ((B2*7.5)/2)/(250/5), 10), IF((1000/2)/(250/5)&lt;=10, (1000/2)/(250/5), 10)), 1) &amp; " mL por via oral de 12/12 horas por 7 a 14 dias."</f>
        <v>Tomar 1,7 mL por via oral de 12/12 horas por 7 a 14 dias.</v>
      </c>
      <c r="D17" s="33"/>
      <c r="E17" s="42"/>
      <c r="F17" s="27"/>
    </row>
    <row r="18" spans="1:6" x14ac:dyDescent="0.2">
      <c r="A18" s="110" t="s">
        <v>35</v>
      </c>
      <c r="B18" s="55" t="str">
        <f>"Tomar "&amp;ROUND((IF(B2*15&gt;1000,1000/2,(B2*15)/2)*5)/250,1)&amp;" mL por via oral de 12/12 horas por 5 a 7 dias."</f>
        <v>Tomar 3,4 mL por via oral de 12/12 horas por 5 a 7 dias.</v>
      </c>
      <c r="D18" s="33"/>
      <c r="E18" s="42"/>
      <c r="F18" s="27"/>
    </row>
    <row r="19" spans="1:6" x14ac:dyDescent="0.2">
      <c r="A19" s="104" t="s">
        <v>36</v>
      </c>
      <c r="B19" s="28" t="str">
        <f>"Tomar " &amp; ROUND(IF((B2*5)&lt;=100, IF(((B2*5)/4)/5&lt;=10, ((B2*5)/4)/5, 10), IF((100/4)/5&lt;=10, (100/4)/5, 10)), 1) &amp; " mL por via oral de 6/6 horas por 7 dias."</f>
        <v>Tomar 5 mL por via oral de 6/6 horas por 7 dias.</v>
      </c>
      <c r="D19" s="33"/>
      <c r="E19" s="41"/>
      <c r="F19" s="27"/>
    </row>
    <row r="20" spans="1:6" x14ac:dyDescent="0.2">
      <c r="A20" s="104" t="s">
        <v>37</v>
      </c>
      <c r="B20" s="28" t="str">
        <f>IF(B2&lt;28.6,"Não se aplica",IF((B2*7)&lt;=300,"Tomar 1 comprimido de 12/12 horas por 7 dias.",IF((B2*7)&lt;=400,"Tomar 1 comprimido de 8/8 horas por 7 dias.", "Tomar 1 comprimido de 6/6 horas por 7 dias.")))</f>
        <v>Não se aplica</v>
      </c>
      <c r="D20" s="33"/>
      <c r="E20" s="42"/>
      <c r="F20" s="27"/>
    </row>
    <row r="21" spans="1:6" x14ac:dyDescent="0.2">
      <c r="A21" s="57" t="s">
        <v>38</v>
      </c>
      <c r="B21" s="28" t="str">
        <f>"Tomar " &amp; ROUND(IF((B2*50)&lt;=1200, ((B2*50)/3)/(200/5), (1200/3)/(200/5)), 1) &amp; " mL por via oral de 8/8 horas por 7 a 10 dias."</f>
        <v>Tomar 9,4 mL por via oral de 8/8 horas por 7 a 10 dias.</v>
      </c>
      <c r="D21" s="33"/>
      <c r="E21" s="42"/>
      <c r="F21" s="27"/>
    </row>
    <row r="22" spans="1:6" x14ac:dyDescent="0.2">
      <c r="A22" s="57" t="s">
        <v>39</v>
      </c>
      <c r="B22" s="28" t="str">
        <f>"Tomar " &amp; ROUND(IF((B2*20)&lt;=1750, IF(((B2*20)/2)/(200/5)&lt;=15, ((B2*20)/2)/(200/5), 15), IF((1750/2)/(200/5)&lt;=15, (1750/2)/(200/5), 15)), 1) &amp; " mL por via oral de 12/12 horas por 7 a 10 dias."</f>
        <v>Tomar 5,6 mL por via oral de 12/12 horas por 7 a 10 dias.</v>
      </c>
      <c r="D22" s="31"/>
      <c r="E22" s="42"/>
      <c r="F22" s="27"/>
    </row>
    <row r="23" spans="1:6" x14ac:dyDescent="0.2">
      <c r="A23" s="57" t="s">
        <v>40</v>
      </c>
      <c r="B23" s="28" t="str">
        <f>"Tomar " &amp; ROUND(IF((B2*20)&lt;=1750, IF(((B2*20)/2)/(400/5)&lt;=10, ((B2*20)/2)/(400/5), 10), IF((1750/2)/(400/5)&lt;=10, (1750/2)/(400/5), 10)), 1) &amp; " mL por via oral de 12/12 horas por 7 a 10 dias."</f>
        <v>Tomar 2,8 mL por via oral de 12/12 horas por 7 a 10 dias.</v>
      </c>
      <c r="D23" s="31"/>
      <c r="E23" s="42"/>
      <c r="F23" s="27"/>
    </row>
    <row r="24" spans="1:6" x14ac:dyDescent="0.2">
      <c r="A24" s="57" t="s">
        <v>41</v>
      </c>
      <c r="B24" s="28" t="str">
        <f>"Tomar " &amp; ROUND(IF((B2*30)&lt;=1000, ((B2*30)/2)/(250/5), (1000/2)/(250/5)), 1) &amp; " mL por via oral de 12/12 horas por 7 a 10 dias."</f>
        <v>Tomar 6,8 mL por via oral de 12/12 horas por 7 a 10 dias.</v>
      </c>
      <c r="C24" s="27"/>
      <c r="D24" s="33"/>
      <c r="E24" s="42"/>
      <c r="F24" s="27"/>
    </row>
    <row r="25" spans="1:6" x14ac:dyDescent="0.2">
      <c r="A25" s="57" t="s">
        <v>42</v>
      </c>
      <c r="B25" s="28" t="str">
        <f>"Tomar " &amp; ROUND(IF((B2*30)&lt;=1000, ((B2*30)/2)/(500/5), (1000/2)/(500/5)), 1) &amp; " mL por via oral de 12/12 horas por 7 a 10 dias."</f>
        <v>Tomar 3,4 mL por via oral de 12/12 horas por 7 a 10 dias.</v>
      </c>
      <c r="D25" s="33"/>
      <c r="E25" s="42"/>
      <c r="F25" s="27"/>
    </row>
    <row r="26" spans="1:6" x14ac:dyDescent="0.2">
      <c r="A26" s="57" t="s">
        <v>43</v>
      </c>
      <c r="B26" s="55" t="str">
        <f>IF(B1&lt;0.4,"Contraindicado ", "Tomar "&amp;ROUNDUP((B2*13.75)/50,2)&amp;" mL por via oral de 6/6 horas. Por 7 a 14 dias.")</f>
        <v>Tomar 6,19 mL por via oral de 6/6 horas. Por 7 a 14 dias.</v>
      </c>
      <c r="D26" s="33"/>
      <c r="E26" s="42"/>
      <c r="F26" s="27"/>
    </row>
    <row r="27" spans="1:6" x14ac:dyDescent="0.2">
      <c r="A27" s="170" t="s">
        <v>44</v>
      </c>
      <c r="B27" s="60"/>
      <c r="C27" s="27"/>
      <c r="D27" s="33"/>
      <c r="E27" s="42"/>
      <c r="F27" s="27"/>
    </row>
    <row r="28" spans="1:6" x14ac:dyDescent="0.2">
      <c r="A28" s="57" t="s">
        <v>45</v>
      </c>
      <c r="B28" s="28" t="str">
        <f>"Tomar " &amp; ROUND(IF((B2*15)&lt;=500,(B2*15)/25,20),0) &amp; " gotas por via oral de 6/6 horas."</f>
        <v>Tomar 14 gotas por via oral de 6/6 horas.</v>
      </c>
      <c r="C28" s="27"/>
      <c r="D28" s="33"/>
      <c r="E28" s="42"/>
      <c r="F28" s="27"/>
    </row>
    <row r="29" spans="1:6" x14ac:dyDescent="0.2">
      <c r="A29" s="57" t="s">
        <v>46</v>
      </c>
      <c r="B29" s="28" t="str">
        <f>"Tomar " &amp; ROUND(IF((B2*15)&lt;=500, (B2*15)/50, 500/50), 1) &amp; " mL por via oral de 6/6 horas."</f>
        <v>Tomar 6,8 mL por via oral de 6/6 horas.</v>
      </c>
      <c r="C29" s="27"/>
      <c r="D29" s="33"/>
      <c r="E29" s="42"/>
      <c r="F29" s="27"/>
    </row>
    <row r="30" spans="1:6" x14ac:dyDescent="0.2">
      <c r="A30" s="57" t="s">
        <v>47</v>
      </c>
      <c r="B30" s="28" t="str">
        <f>"Administrar " &amp; ROUND(IF((B2*15)&lt;=1000, (B2*15)/500, 1000/500), 1) &amp; " mL por via EV ou IM a cada 6 horas."</f>
        <v>Administrar 0,7 mL por via EV ou IM a cada 6 horas.</v>
      </c>
      <c r="C30" s="125"/>
      <c r="D30" s="33"/>
      <c r="E30" s="41"/>
      <c r="F30" s="27"/>
    </row>
    <row r="31" spans="1:6" ht="27.75" x14ac:dyDescent="0.2">
      <c r="A31" s="57" t="s">
        <v>48</v>
      </c>
      <c r="B31" s="28" t="str">
        <f>"Administrar " &amp; ROUND(IF((B2*1)&lt;=100, (B2*1)/50, 100/50), 1) &amp; " mL por via EV diluido em 50 ml de SF 0,9% (Administrar bem lentamente), a cada 8 horas."</f>
        <v>Administrar 0,5 mL por via EV diluido em 50 ml de SF 0,9% (Administrar bem lentamente), a cada 8 horas.</v>
      </c>
      <c r="C31" s="27"/>
      <c r="D31" s="33"/>
      <c r="E31" s="42"/>
      <c r="F31" s="27"/>
    </row>
    <row r="32" spans="1:6" x14ac:dyDescent="0.2">
      <c r="A32" s="57" t="s">
        <v>49</v>
      </c>
      <c r="B32" s="28" t="str">
        <f>"Tomar " &amp; ROUND(IF((B2*1)&lt;=50,(B2*1)/2.5,20),0) &amp; " gotas por via oral de 8/8 horas. (Se dor muito forte)"</f>
        <v>Tomar 9 gotas por via oral de 8/8 horas. (Se dor muito forte)</v>
      </c>
      <c r="D32" s="33"/>
      <c r="E32" s="42"/>
      <c r="F32" s="27"/>
    </row>
    <row r="33" spans="1:6" x14ac:dyDescent="0.2">
      <c r="A33" s="57" t="s">
        <v>50</v>
      </c>
      <c r="B33" s="28" t="str">
        <f>"Tomar " &amp; ROUND(IF((B2*15)&lt;=1000, (B2*15)/25, 1000/25), 0) &amp; " gotas por via oral de 6/6 horas."</f>
        <v>Tomar 14 gotas por via oral de 6/6 horas.</v>
      </c>
      <c r="C33" s="27"/>
      <c r="D33" s="33"/>
      <c r="E33" s="42"/>
      <c r="F33" s="27"/>
    </row>
    <row r="34" spans="1:6" x14ac:dyDescent="0.2">
      <c r="A34" s="57" t="s">
        <v>51</v>
      </c>
      <c r="B34" s="28" t="str">
        <f>"Administrar " &amp; ROUND(IF((B2*15)&lt;=1000, (B2*15)/500, 1000/500), 1) &amp; " mL por via EV diluido em 50 ml de SF 0,9% a cada 6 horas."</f>
        <v>Administrar 0,7 mL por via EV diluido em 50 ml de SF 0,9% a cada 6 horas.</v>
      </c>
      <c r="D34" s="33"/>
      <c r="E34" s="42"/>
      <c r="F34" s="27"/>
    </row>
    <row r="35" spans="1:6" ht="27.75" x14ac:dyDescent="0.2">
      <c r="A35" s="57" t="s">
        <v>52</v>
      </c>
      <c r="B35" s="28" t="str">
        <f>"Tomar " &amp; ROUND(IF((B2*10)&lt;=350, (B2*10)/10, 350/10), 0) &amp; " gotas por via oral de 4/4 horas. (Não exceder 5 administrações por dia)"</f>
        <v>Tomar 23 gotas por via oral de 4/4 horas. (Não exceder 5 administrações por dia)</v>
      </c>
      <c r="D35" s="33"/>
      <c r="E35" s="41"/>
      <c r="F35" s="27"/>
    </row>
    <row r="36" spans="1:6" x14ac:dyDescent="0.2">
      <c r="A36" s="57" t="s">
        <v>53</v>
      </c>
      <c r="B36" s="28" t="str">
        <f>"Tomar " &amp; ROUND(IF((B2*10)&lt;=200,(B2*10)/5,200/5),0) &amp; " gotas por via oral de 6/6 horas. Por 3 a 5 dias."</f>
        <v>Tomar 40 gotas por via oral de 6/6 horas. Por 3 a 5 dias.</v>
      </c>
      <c r="D36" s="33"/>
      <c r="E36" s="42"/>
      <c r="F36" s="27"/>
    </row>
    <row r="37" spans="1:6" x14ac:dyDescent="0.2">
      <c r="A37" s="57" t="s">
        <v>54</v>
      </c>
      <c r="B37" s="28" t="str">
        <f>"Tomar " &amp; ROUND(IF((B2*10)&lt;=200,(B2*10)/10,200/10),0) &amp; " gotas por via oral de 6/6 horas. Por 3 a 5 dias."</f>
        <v>Tomar 20 gotas por via oral de 6/6 horas. Por 3 a 5 dias.</v>
      </c>
      <c r="D37" s="33"/>
      <c r="E37" s="42"/>
      <c r="F37" s="27"/>
    </row>
    <row r="38" spans="1:6" ht="27.75" x14ac:dyDescent="0.2">
      <c r="A38" s="57" t="s">
        <v>55</v>
      </c>
      <c r="B38" s="28" t="str">
        <f>"Administrar " &amp; ROUND(IF((B2*1)&lt;=100, (B2*1)/50, 100/50), 1) &amp; " mL por via IM ou (EV diluido em 50 ml de SF 0,9%), a cada 12 horas."</f>
        <v>Administrar 0,5 mL por via IM ou (EV diluido em 50 ml de SF 0,9%), a cada 12 horas.</v>
      </c>
      <c r="D38" s="33"/>
      <c r="E38" s="42"/>
      <c r="F38" s="27"/>
    </row>
    <row r="39" spans="1:6" x14ac:dyDescent="0.2">
      <c r="A39" s="57" t="s">
        <v>56</v>
      </c>
      <c r="B39" s="28" t="str">
        <f>"Tomar " &amp; ROUND(IF(B2&lt;=40, IF((B2*1)&lt;=((B2*2)/2), (B2*1), (B2*2)/2), IF((90/3)&lt;=((B2*1)), (90/3), (B2*1))),1) &amp; " gotas por via oral " &amp; IF(B2&lt;=40," de 12/12 horas. Por 3 a 5 dias."," de 8/8 horas. Por 3 a 5 dias.")</f>
        <v>Tomar 22,5 gotas por via oral  de 12/12 horas. Por 3 a 5 dias.</v>
      </c>
      <c r="D39" s="33"/>
      <c r="E39" s="41"/>
      <c r="F39" s="27"/>
    </row>
    <row r="40" spans="1:6" x14ac:dyDescent="0.2">
      <c r="A40" s="57" t="s">
        <v>57</v>
      </c>
      <c r="B40" s="28" t="str">
        <f>"Tomar " &amp; ROUND(IF((B2*0.75)&lt;=30,(B2*0.75)/0.75,40),0) &amp; " gotas por via oral de 8/8 horas. Por 3 a 5 dias."</f>
        <v>Tomar 23 gotas por via oral de 8/8 horas. Por 3 a 5 dias.</v>
      </c>
      <c r="D40" s="33"/>
      <c r="E40" s="42"/>
      <c r="F40" s="27"/>
    </row>
    <row r="41" spans="1:6" x14ac:dyDescent="0.2">
      <c r="A41" s="57" t="s">
        <v>58</v>
      </c>
      <c r="B41" s="28" t="str">
        <f>"Tomar " &amp; ROUND(IF((B2*2)&lt;=100,(B2*2)/2.5,40),0) &amp; " gotas por via oral de 12/12 horas. Por 3 a 5 dias."</f>
        <v>Tomar 18 gotas por via oral de 12/12 horas. Por 3 a 5 dias.</v>
      </c>
      <c r="D41" s="33"/>
      <c r="E41" s="42"/>
      <c r="F41" s="27"/>
    </row>
    <row r="42" spans="1:6" x14ac:dyDescent="0.2">
      <c r="A42" s="170" t="s">
        <v>59</v>
      </c>
      <c r="B42" s="60"/>
      <c r="D42" s="33"/>
      <c r="E42" s="42"/>
      <c r="F42" s="27"/>
    </row>
    <row r="43" spans="1:6" x14ac:dyDescent="0.2">
      <c r="A43" s="57" t="s">
        <v>60</v>
      </c>
      <c r="B43" s="28" t="str">
        <f>"Tomar " &amp; IF(ROUND(IF((B2*0.2)&lt;=4,(B2*0.2)/4,1),1)&lt;0.5,0.5,ROUND(IF((B2*0.2)&lt;=4,(B2*0.2)/4,1),1)) &amp; " Filme por via oral de 8/8 horas."</f>
        <v>Tomar 1 Filme por via oral de 8/8 horas.</v>
      </c>
      <c r="D43" s="33"/>
      <c r="E43" s="42"/>
      <c r="F43" s="27"/>
    </row>
    <row r="44" spans="1:6" x14ac:dyDescent="0.2">
      <c r="A44" s="57" t="s">
        <v>61</v>
      </c>
      <c r="B44" s="28" t="str">
        <f>"Tomar " &amp; ROUND(IF((B2*0.1)&lt;=4,B2*0.1,4)/0.8,1) &amp; " mL por via oral de 8/8 horas."</f>
        <v>Tomar 2,8 mL por via oral de 8/8 horas.</v>
      </c>
      <c r="D44" s="33"/>
      <c r="E44" s="42"/>
      <c r="F44" s="27"/>
    </row>
    <row r="45" spans="1:6" x14ac:dyDescent="0.2">
      <c r="A45" s="57" t="s">
        <v>62</v>
      </c>
      <c r="B45" s="28" t="str">
        <f>"Tomar " &amp;ROUND(IF(B2&lt;=20, B2, 20), 0) &amp; " gotas por via oral de 8/8 horas."</f>
        <v>Tomar 20 gotas por via oral de 8/8 horas.</v>
      </c>
      <c r="D45" s="33"/>
      <c r="E45" s="42"/>
      <c r="F45" s="27"/>
    </row>
    <row r="46" spans="1:6" x14ac:dyDescent="0.2">
      <c r="A46" s="57" t="s">
        <v>63</v>
      </c>
      <c r="B46" s="28" t="str">
        <f>"Tomar " &amp; ROUND(IF((B2*0.15)&lt;=10/3, (B2*0.15)/0.2, (10/3)/0.2), 0) &amp; " gotas por via oral de 8/8 horas."</f>
        <v>Tomar 17 gotas por via oral de 8/8 horas.</v>
      </c>
      <c r="D46" s="33"/>
      <c r="E46" s="42"/>
      <c r="F46" s="27"/>
    </row>
    <row r="47" spans="1:6" x14ac:dyDescent="0.2">
      <c r="A47" s="57" t="s">
        <v>64</v>
      </c>
      <c r="B47" s="28" t="str">
        <f>"Tomar " &amp; ROUND(IF(B1&lt;=6,IF((B2*1)&lt;=15,B2*1,15),IF(B1&lt;=12,IF((B2*1)&lt;=30,B2*1,30),IF((B2*1)&lt;=80,B2*1,80))),0) &amp; " gotas por via oral de 6/6 horas."</f>
        <v>Tomar 23 gotas por via oral de 6/6 horas.</v>
      </c>
      <c r="C47" s="27"/>
      <c r="D47" s="33"/>
      <c r="E47" s="42"/>
      <c r="F47" s="27"/>
    </row>
    <row r="48" spans="1:6" ht="15.75" customHeight="1" x14ac:dyDescent="0.2">
      <c r="A48" s="57" t="s">
        <v>65</v>
      </c>
      <c r="B48" s="28" t="str">
        <f>"Tomar " &amp; ROUND(IF((B2*0.3)&lt;=10,B2*0.3,10),1) &amp; " mL por via oral 30 minutos antes das refeições de 8/8 horas."</f>
        <v>Tomar 6,8 mL por via oral 30 minutos antes das refeições de 8/8 horas.</v>
      </c>
      <c r="C48" s="27"/>
      <c r="D48" s="33"/>
      <c r="E48" s="42"/>
      <c r="F48" s="27"/>
    </row>
    <row r="49" spans="1:6" ht="27.75" x14ac:dyDescent="0.2">
      <c r="A49" s="110" t="s">
        <v>66</v>
      </c>
      <c r="B49" s="28" t="str">
        <f>"Reconstituir "&amp;ROUNDUP(IF(B2*1&gt;40,40,B2*1)/40,0)&amp;" frasco(s) com 10 mL de diluente. Administrar "&amp;ROUND(IF(B2*1&gt;40,40,B2*1)/4,1)&amp;" mL EV uma vez ao dia."</f>
        <v>Reconstituir 1 frasco(s) com 10 mL de diluente. Administrar 5,6 mL EV uma vez ao dia.</v>
      </c>
      <c r="C49" s="27"/>
      <c r="D49" s="33"/>
      <c r="E49" s="42"/>
      <c r="F49" s="27"/>
    </row>
    <row r="50" spans="1:6" x14ac:dyDescent="0.2">
      <c r="A50" s="57" t="s">
        <v>67</v>
      </c>
      <c r="B50" s="28" t="str">
        <f>"Tomar " &amp; ROUND(IF((B2*1)&lt;=40, B2*1, 40)/4, 1) &amp; " mL por via oral ou SNG em dose única pela manhã."</f>
        <v>Tomar 5,6 mL por via oral ou SNG em dose única pela manhã.</v>
      </c>
      <c r="C50" s="27"/>
      <c r="D50" s="33"/>
      <c r="E50" s="42"/>
      <c r="F50" s="27"/>
    </row>
    <row r="51" spans="1:6" x14ac:dyDescent="0.2">
      <c r="A51" s="57" t="s">
        <v>68</v>
      </c>
      <c r="B51" s="28" t="str">
        <f>IF(B1&gt;=12," Tomar 13 gotas por via oral de 8/8 horas. Por 3 a 5 dias.",IF(B1&lt;1," Tomar de 3 a 5 gotas por via oral de 8/8 horas. Por 3 a 5 dias.", " Tomar de 5 a 10 gotas por via oral de 8/8 horas. Por 3 a 5 dias."))</f>
        <v xml:space="preserve"> Tomar de 5 a 10 gotas por via oral de 8/8 horas. Por 3 a 5 dias.</v>
      </c>
      <c r="C51" s="27"/>
      <c r="D51" s="33"/>
      <c r="E51" s="42"/>
      <c r="F51" s="27"/>
    </row>
    <row r="52" spans="1:6" x14ac:dyDescent="0.2">
      <c r="A52" s="57" t="s">
        <v>69</v>
      </c>
      <c r="B52" s="28" t="str">
        <f>IF(B2&lt;=4,"Tomar 0,5 mL por via oral de 12/12 horas.",
IF(B2&lt;=7,"Tomar 1 mL por via oral de 12/12 horas.",
IF(B2&lt;=10,"Tomar 1,5 mL por via oral de 12/12 horas.",
IF(B2&lt;=13,"Tomar 2 mL por via oral de 12/12 horas.",
IF(B2&lt;=16,"Tomar 2,5 mL por via oral de 12/12 horas.",
IF(B2&lt;=19,"Tomar 3 mL por via oral de 12/12 horas.",
IF(B2&lt;=22,"Tomar 3,5 mL por via oral de 12/12 horas.",
IF(B2&lt;=25,"Tomar 4 mL por via oral de 12/12 horas.",
IF(B2&lt;=28,"Tomar 4,5 mL por via oral de 12/12 horas.",
IF(B2&lt;=31,"Tomar 5 mL por via oral de 12/12 horas.",
IF(B2&lt;=34,"Tomar 5,5 mL por via oral de 12/12 horas.",
IF(B2&lt;=37,"Tomar 6 mL por via oral de 12/12 horas.",
IF(B2&lt;=40,"Tomar 6,5 mL por via oral de 12/12 horas.",
"Tomar 7 mL por via oral de 12/12 horas.")))))))))))))</f>
        <v>Tomar 4 mL por via oral de 12/12 horas.</v>
      </c>
      <c r="C52" s="27"/>
      <c r="D52" s="33"/>
      <c r="E52" s="41"/>
      <c r="F52" s="27"/>
    </row>
    <row r="53" spans="1:6" x14ac:dyDescent="0.2">
      <c r="A53" s="57" t="s">
        <v>70</v>
      </c>
      <c r="B53" s="28" t="str">
        <f>"Tomar " &amp; ROUND(IF((B2*1)&lt;=90/3,(B2*1)/0.75,(90/3)/0.75),0) &amp; " gotas por via oral de 8/8 horas."</f>
        <v>Tomar 30 gotas por via oral de 8/8 horas.</v>
      </c>
      <c r="C53" s="27"/>
      <c r="D53" s="33"/>
      <c r="E53" s="42"/>
      <c r="F53" s="27"/>
    </row>
    <row r="54" spans="1:6" ht="27.75" x14ac:dyDescent="0.2">
      <c r="A54" s="57" t="s">
        <v>71</v>
      </c>
      <c r="B54" s="28" t="str">
        <f>"Misturar " &amp; ROUND(IF((B2*1)&lt;=50, B2*1, 50), 0) &amp; " g com " &amp; ROUND(IF((B2*1)&lt;=50, B2*1, 50)/25*50, 0) &amp; " mL de água para formar uma suspensão. Administrar por VO ou SNG."</f>
        <v>Misturar 23 g com 45 mL de água para formar uma suspensão. Administrar por VO ou SNG.</v>
      </c>
      <c r="D54" s="33"/>
      <c r="E54" s="42"/>
      <c r="F54" s="27"/>
    </row>
    <row r="55" spans="1:6" ht="27.75" x14ac:dyDescent="0.2">
      <c r="A55" s="57" t="s">
        <v>72</v>
      </c>
      <c r="B55" s="28" t="str">
        <f>"Administrar " &amp; ROUND(IF((B2*0.2)&lt;=4,B2*0.2,4)/2,1) &amp; " mL por via IM ou (EV diluido em 50 mL de SF 0,9% ou SG 5%) a cada 8 horas"</f>
        <v>Administrar 2 mL por via IM ou (EV diluido em 50 mL de SF 0,9% ou SG 5%) a cada 8 horas</v>
      </c>
      <c r="D55" s="33"/>
      <c r="E55" s="42"/>
      <c r="F55" s="27"/>
    </row>
    <row r="56" spans="1:6" ht="27.75" x14ac:dyDescent="0.2">
      <c r="A56" s="57" t="s">
        <v>73</v>
      </c>
      <c r="B56" s="28" t="str">
        <f>"Administrar " &amp; ROUNDUP(IF((B2*0.2)&lt;=20, IF(((B2*0.2)/1)/(5/1)&lt;=4, ((B2*0.2)/1)/(5/1), 4), IF((20/1)/(5/1)&lt;=4, (20/1)/(5/1), 20)), 1) &amp; " mL por via EV diluido em 50 mL de SF 0,9% ou SG 5% a cada 8 horas"</f>
        <v>Administrar 0,9 mL por via EV diluido em 50 mL de SF 0,9% ou SG 5% a cada 8 horas</v>
      </c>
      <c r="D56" s="33"/>
      <c r="E56" s="42"/>
      <c r="F56" s="27"/>
    </row>
    <row r="57" spans="1:6" x14ac:dyDescent="0.2">
      <c r="A57" s="57" t="s">
        <v>74</v>
      </c>
      <c r="B57" s="28" t="str">
        <f>"Administrar " &amp; ROUNDUP(IF((B2*0.15)&lt;=10,B2*0.15,10)/5,1) &amp; " mL + 50 ml de SF 0,9% ou SG 5% por via EV a cada 8 horas."</f>
        <v>Administrar 0,7 mL + 50 ml de SF 0,9% ou SG 5% por via EV a cada 8 horas.</v>
      </c>
      <c r="D57" s="33"/>
      <c r="E57" s="42"/>
      <c r="F57" s="27"/>
    </row>
    <row r="58" spans="1:6" ht="27.75" x14ac:dyDescent="0.2">
      <c r="A58" s="57" t="s">
        <v>75</v>
      </c>
      <c r="B58" s="28" t="str">
        <f>"Administrar " &amp;ROUND(IF((B2*1.25)&lt;=270/3, IF(((B2*1.25)/30)*10&lt;=90, ((B2*1.25)/30)*10, 90), (270/3)/30*10), 1) &amp; " mL por via EV diluido em 50 mL de SF 0,9% ou SG 5% a cada 8 horas."</f>
        <v>Administrar 9,4 mL por via EV diluido em 50 mL de SF 0,9% ou SG 5% a cada 8 horas.</v>
      </c>
      <c r="D58" s="33"/>
      <c r="E58" s="41"/>
      <c r="F58" s="27"/>
    </row>
    <row r="59" spans="1:6" x14ac:dyDescent="0.2">
      <c r="A59" s="57" t="s">
        <v>76</v>
      </c>
      <c r="B59" s="28" t="str">
        <f>"Administrar " &amp;ROUNDUP(IF((B2*0.025)&lt;=1, B2*0.025, 1), 1) &amp; " mL por via IM a cada 8 horas."</f>
        <v>Administrar 0,6 mL por via IM a cada 8 horas.</v>
      </c>
      <c r="D59" s="33"/>
      <c r="E59" s="42"/>
      <c r="F59" s="27"/>
    </row>
    <row r="60" spans="1:6" x14ac:dyDescent="0.2">
      <c r="A60" s="57" t="s">
        <v>77</v>
      </c>
      <c r="B60" s="28" t="str">
        <f>"Administrar " &amp;ROUND(IF(B2 / 20 &gt; 2, 2, B2 / 20), 1) &amp; " mL por via EV a cada 12 horas"</f>
        <v>Administrar 1,1 mL por via EV a cada 12 horas</v>
      </c>
      <c r="D60" s="33"/>
      <c r="E60" s="42"/>
      <c r="F60" s="27"/>
    </row>
    <row r="61" spans="1:6" x14ac:dyDescent="0.2">
      <c r="A61" s="170" t="s">
        <v>78</v>
      </c>
      <c r="B61" s="60"/>
      <c r="D61" s="33"/>
      <c r="E61" s="42"/>
      <c r="F61" s="27"/>
    </row>
    <row r="62" spans="1:6" x14ac:dyDescent="0.2">
      <c r="A62" s="57" t="s">
        <v>79</v>
      </c>
      <c r="B62" s="28" t="str">
        <f>"Tomar " &amp;ROUND(IF(B2&lt;=40, IF((B2*0.7)&lt;=((B2*2)/3), IF((B2*0.7)/2&lt;=12.5, (B2*0.7)/2, 12.5), IF((B2*2)/6&lt;=12.5, (B2*2)/6, 12.5)), IF((B2*0.7)&lt;=100/3, IF((B2*0.7)/2&lt;=12.5, (B2*0.7)/2, 12.5), IF(100/6&lt;=12.5, 100/6, 12.5))), 1) &amp; " mL por via oral de 8/8 horas."</f>
        <v>Tomar 7,5 mL por via oral de 8/8 horas.</v>
      </c>
      <c r="D62" s="33"/>
      <c r="E62" s="42"/>
      <c r="F62" s="27"/>
    </row>
    <row r="63" spans="1:6" x14ac:dyDescent="0.2">
      <c r="A63" s="57" t="s">
        <v>80</v>
      </c>
      <c r="B63" s="28" t="str">
        <f>"Tomar " &amp;ROUND(IF(B1&lt;=0.92, 2, IF(B1&lt;=5, 2.5, IF(B1&lt;=11, 5, 10))), 1) &amp; " mL por via oral uma vez ao dia."</f>
        <v>Tomar 5 mL por via oral uma vez ao dia.</v>
      </c>
      <c r="D63" s="33"/>
      <c r="E63" s="34"/>
      <c r="F63" s="27"/>
    </row>
    <row r="64" spans="1:6" x14ac:dyDescent="0.2">
      <c r="A64" s="57" t="s">
        <v>81</v>
      </c>
      <c r="B64" s="28" t="str">
        <f>"Tomar " &amp;ROUND(IF(B1&lt;=2, 2.5, IF(B1&lt;=11, 5, 5)), 1) &amp; " mL por via oral de 12/12 horas."</f>
        <v>Tomar 5 mL por via oral de 12/12 horas.</v>
      </c>
      <c r="D64" s="33"/>
      <c r="E64" s="34"/>
      <c r="F64" s="27"/>
    </row>
    <row r="65" spans="1:6" x14ac:dyDescent="0.2">
      <c r="A65" s="57" t="s">
        <v>82</v>
      </c>
      <c r="B65" s="28" t="str">
        <f>"Tomar " &amp; ROUND(IF(B2*0.1&lt;=3,(B2*0.1)/(2/5),3/(2/5)),1) &amp; " mL por via oral de 8/8 horas."</f>
        <v>Tomar 5,6 mL por via oral de 8/8 horas.</v>
      </c>
      <c r="D65" s="33"/>
      <c r="E65" s="34"/>
      <c r="F65" s="27"/>
    </row>
    <row r="66" spans="1:6" x14ac:dyDescent="0.2">
      <c r="A66" s="57" t="s">
        <v>83</v>
      </c>
      <c r="B66" s="28" t="str">
        <f>"Tomar " &amp; ROUND(IF(B2*0.2&lt;=5,B2*0.2,5)/1,1) &amp; " mL por via oral, uma vez ao dia."</f>
        <v>Tomar 4,5 mL por via oral, uma vez ao dia.</v>
      </c>
      <c r="D66" s="33"/>
      <c r="E66" s="32"/>
      <c r="F66" s="27"/>
    </row>
    <row r="67" spans="1:6" ht="15.75" customHeight="1" x14ac:dyDescent="0.2">
      <c r="A67" s="57" t="s">
        <v>84</v>
      </c>
      <c r="B67" s="28" t="str">
        <f>"Tomar " &amp; ROUND(IF(B2*0.1&lt;=3,(B2*0.1)/(2/5),3/(2/5)),1) &amp; " mL por via oral de 8/8 horas."</f>
        <v>Tomar 5,6 mL por via oral de 8/8 horas.</v>
      </c>
      <c r="D67" s="33"/>
      <c r="E67" s="34"/>
      <c r="F67" s="27"/>
    </row>
    <row r="68" spans="1:6" x14ac:dyDescent="0.2">
      <c r="A68" s="57" t="s">
        <v>85</v>
      </c>
      <c r="B68" s="28" t="str">
        <f>"Administrar " &amp;ROUND(IF(((B2*0.3)/25)&lt;=2, (B2*0.3)/25, 2), 1) &amp; " mL por via IM a cada 6 horas."</f>
        <v>Administrar 0,3 mL por via IM a cada 6 horas.</v>
      </c>
      <c r="D68" s="33"/>
      <c r="E68" s="34"/>
      <c r="F68" s="27"/>
    </row>
    <row r="69" spans="1:6" x14ac:dyDescent="0.2">
      <c r="A69" s="57" t="s">
        <v>86</v>
      </c>
      <c r="B69" s="28" t="str">
        <f>"Administrar " &amp;ROUND(IF(B2*0.03 &lt;= 300/3/50, B2*0.03, 300/3/50), 1) &amp; " mL por via IM a cada 8 horas."</f>
        <v>Administrar 0,7 mL por via IM a cada 8 horas.</v>
      </c>
      <c r="D69" s="33"/>
      <c r="E69" s="34"/>
      <c r="F69" s="27"/>
    </row>
    <row r="70" spans="1:6" x14ac:dyDescent="0.2">
      <c r="A70" s="170" t="s">
        <v>87</v>
      </c>
      <c r="B70" s="60"/>
      <c r="D70" s="33"/>
      <c r="E70" s="34"/>
      <c r="F70" s="27"/>
    </row>
    <row r="71" spans="1:6" x14ac:dyDescent="0.2">
      <c r="A71" s="57" t="s">
        <v>88</v>
      </c>
      <c r="B71" s="28" t="str">
        <f>"Tomar " &amp; ROUND(IF((B2*1)&lt;=40, IF(((B2*1)/1)/(3/1)&lt;=14, ((B2*1)/1)/(3/1), 14), IF((40/1)/(3/1)&lt;=14, (40/1)/(3/1), 14)), 1) &amp; " mL por via oral de 24/24 horas. Por 5 dias."</f>
        <v>Tomar 7,5 mL por via oral de 24/24 horas. Por 5 dias.</v>
      </c>
      <c r="D71" s="33"/>
      <c r="E71" s="34"/>
      <c r="F71" s="27"/>
    </row>
    <row r="72" spans="1:6" x14ac:dyDescent="0.2">
      <c r="A72" s="111" t="s">
        <v>89</v>
      </c>
      <c r="B72" s="43" t="str">
        <f>"Tomar " &amp; ROUND(IF((B2*0.025)&lt;=12, IF(((B2*0.025)/1)/(0.5/5)&lt;=15, ((B2*0.025)/1)/(0.5/5), 15), IF((12/3)/(0.5/5)&lt;=15, (12/3)/(0.5/5), 15)), 1) &amp; " mL por via oral de 24/24 horas. Por 5 dias."</f>
        <v>Tomar 5,6 mL por via oral de 24/24 horas. Por 5 dias.</v>
      </c>
      <c r="D72" s="33"/>
      <c r="E72" s="32"/>
      <c r="F72" s="27"/>
    </row>
    <row r="73" spans="1:6" x14ac:dyDescent="0.2">
      <c r="A73" s="170" t="s">
        <v>90</v>
      </c>
      <c r="B73" s="60"/>
      <c r="C73" s="27"/>
      <c r="D73" s="33"/>
      <c r="E73" s="34"/>
      <c r="F73" s="27"/>
    </row>
    <row r="74" spans="1:6" ht="27.75" x14ac:dyDescent="0.2">
      <c r="A74" s="57" t="s">
        <v>91</v>
      </c>
      <c r="B74" s="28" t="str">
        <f>"Reconstituir "&amp;ROUND(IF((B2*4)/100&lt;1,1,(B2*4)/100),0)&amp;" frasco(s) com "&amp;ROUND(IF((B2*4)/100&lt;1,1,(B2*4)/100),0)*2&amp;" mL de AD. Administrar "&amp;ROUND(IF((B2*4)&lt;=8*B2,(B2*4)/50,(8*B2)/50),1)&amp;" mL por via IM ou EV diluído em 50 mL de SF 0,9% ou SG 5% a cada 6 horas."</f>
        <v>Reconstituir 1 frasco(s) com 2 mL de AD. Administrar 1,8 mL por via IM ou EV diluído em 50 mL de SF 0,9% ou SG 5% a cada 6 horas.</v>
      </c>
      <c r="D74" s="33"/>
      <c r="E74" s="34"/>
      <c r="F74" s="27"/>
    </row>
    <row r="75" spans="1:6" ht="27.75" x14ac:dyDescent="0.2">
      <c r="A75" s="57" t="s">
        <v>92</v>
      </c>
      <c r="B75" s="28" t="str">
        <f>"Reconstituir "&amp;ROUND(IF((B2*4)/500&lt;1,1,(B2*4)/500),0)&amp;" frasco(s) com "&amp;ROUND(IF((B2*4)/500&lt;1,1,(B2*4)/500),0)*5&amp;" mL de AD. Administrar "&amp;ROUNDUP(IF((B2*4)&lt;=8*B2,(B2*4)/100,(8*B2)/100),1)&amp;" mL por via IM ou (EV diluído em 50 mL de SF 0,9% ou SG 5%), a cada 6 horas."</f>
        <v>Reconstituir 1 frasco(s) com 5 mL de AD. Administrar 0,9 mL por via IM ou (EV diluído em 50 mL de SF 0,9% ou SG 5%), a cada 6 horas.</v>
      </c>
      <c r="D75" s="33"/>
      <c r="E75" s="34"/>
      <c r="F75" s="27"/>
    </row>
    <row r="76" spans="1:6" ht="41.25" x14ac:dyDescent="0.2">
      <c r="A76" s="57" t="s">
        <v>93</v>
      </c>
      <c r="B76" s="28" t="str">
        <f>"Reconstituir "&amp;ROUND(IF((B2*1)/125&lt;1,1,(B2*1)/125),0)&amp;" frasco(s) com "&amp;ROUND(IF((B2*1)/125&lt;1,1,(B2*1)/125),0)*2&amp;" mL de AD. Administrar "&amp;ROUNDUP(IF((B2*1)&lt;=125,(B2*1)/62.5,125/62.5),1)&amp;" mL por via IM ou (EV diluído em 50 mL de SF 0,9% ou SG 5%), a cada 6 horas. (Correr em 30 minutos)."</f>
        <v>Reconstituir 1 frasco(s) com 2 mL de AD. Administrar 0,4 mL por via IM ou (EV diluído em 50 mL de SF 0,9% ou SG 5%), a cada 6 horas. (Correr em 30 minutos).</v>
      </c>
      <c r="C76" s="126"/>
      <c r="D76" s="33"/>
      <c r="E76" s="34"/>
      <c r="F76" s="27"/>
    </row>
    <row r="77" spans="1:6" ht="41.25" x14ac:dyDescent="0.2">
      <c r="A77" s="86" t="s">
        <v>94</v>
      </c>
      <c r="B77" s="55" t="str">
        <f>"Dose de ataque:  " &amp; ROUND(IF(B2 * 1.5 / 40 &lt;= 1, B2 * 1.5 / 40, 1), 2) &amp; " ML + " &amp; ROUND(10 - IF(B2 * 1.5 / 40 &lt;= 1, B2 * 1.5 / 40, 1), 2) &amp; " mL de SF 0,9%, Administrar por via EV em infusão lenta | Dose de manutençao: " &amp; ROUND(IF(B2 * 0.75 / 40 &lt;= 1, B2 * 0.75 / 40, 1), 2) &amp; " ML + " &amp; ROUND(10 - IF(B2 * 0.75 / 40 &lt;= 1, B2 * 0.75 / 40, 1), 2) &amp; " mL de SF 0,9%, Administrar por via EV em infusão lenta. A cada 6/6 horas."</f>
        <v>Dose de ataque:  0,84 ML + 9,16 mL de SF 0,9%, Administrar por via EV em infusão lenta | Dose de manutençao: 0,42 ML + 9,58 mL de SF 0,9%, Administrar por via EV em infusão lenta. A cada 6/6 horas.</v>
      </c>
      <c r="C77" s="126"/>
      <c r="D77" s="33"/>
      <c r="E77" s="34"/>
      <c r="F77" s="27"/>
    </row>
    <row r="78" spans="1:6" ht="41.25" x14ac:dyDescent="0.2">
      <c r="A78" s="57" t="s">
        <v>95</v>
      </c>
      <c r="B78" s="55" t="str">
        <f>"Administrar " &amp; ROUNDUP(IF(B2*25&lt;=2000,B2*25,2000)/500,1) &amp; " mL diluído em " &amp; IF(B2*25&lt;=2000,"60","100") &amp; " mL de SF 0,9%. Administrar por via EV em infusão lenta por 30 minutos. (Necessita de internação para realização deste medicamento)."</f>
        <v>Administrar 1,2 mL diluído em 60 mL de SF 0,9%. Administrar por via EV em infusão lenta por 30 minutos. (Necessita de internação para realização deste medicamento).</v>
      </c>
      <c r="C78" s="48"/>
      <c r="D78" s="33"/>
      <c r="E78" s="34"/>
      <c r="F78" s="27"/>
    </row>
    <row r="79" spans="1:6" ht="41.25" x14ac:dyDescent="0.2">
      <c r="A79" s="110" t="s">
        <v>96</v>
      </c>
      <c r="B79" s="55" t="str">
        <f>"Administrar " &amp; ROUNDUP(IF(B2*25&lt;=2000,B2*25,2000)/100,1) &amp; " mL  diluído em " &amp; IF(B2*25&lt;=2000,"60","100") &amp; " mL de SF 0,9%. Administrar por via EV em infusão lenta por 30 minutos. (Necessita de internação para realização deste medicamento)."</f>
        <v>Administrar 5,7 mL  diluído em 60 mL de SF 0,9%. Administrar por via EV em infusão lenta por 30 minutos. (Necessita de internação para realização deste medicamento).</v>
      </c>
      <c r="C79" s="35"/>
      <c r="D79" s="33"/>
      <c r="E79" s="34"/>
      <c r="F79" s="27"/>
    </row>
    <row r="80" spans="1:6" ht="41.25" x14ac:dyDescent="0.2">
      <c r="A80" s="57" t="s">
        <v>97</v>
      </c>
      <c r="B80" s="28" t="str">
        <f>"Dose de ataque: " &amp; ROUND(IF((B2*0.6)&lt;=12,B2*0.6,12)/4,1) &amp; " mL  por via IM, uma vez por dia ou (EV Diluir em 50 mL de SF 0,9%. Administrar em 30 minutos)  |  Dose de manutenção: " &amp; ROUND(IF((B2*0.15)&lt;=10,B2*0.15,10)/4,1) &amp; " mL por via IM ou (EV Diluir em 50 mL de SF 0,9%)."</f>
        <v>Dose de ataque: 3 mL  por via IM, uma vez por dia ou (EV Diluir em 50 mL de SF 0,9%. Administrar em 30 minutos)  |  Dose de manutenção: 0,8 mL por via IM ou (EV Diluir em 50 mL de SF 0,9%).</v>
      </c>
      <c r="C80" s="40"/>
      <c r="D80" s="33"/>
      <c r="E80" s="32"/>
      <c r="F80" s="27"/>
    </row>
    <row r="81" spans="1:6" ht="27.75" x14ac:dyDescent="0.2">
      <c r="A81" s="57" t="s">
        <v>98</v>
      </c>
      <c r="B81" s="28" t="str">
        <f>"Administrar " &amp; ROUND(IF((B2*0.6)&lt;=12,B2*0.6,12)/2,1) &amp; " mL uma vez ao dia por via IM puro ou (EV diluir em 50 mL de SF 0,9%, administrar em 30 minutos)"</f>
        <v>Administrar 6 mL uma vez ao dia por via IM puro ou (EV diluir em 50 mL de SF 0,9%, administrar em 30 minutos)</v>
      </c>
      <c r="C81" s="39"/>
      <c r="D81" s="33"/>
      <c r="E81" s="34"/>
      <c r="F81" s="27"/>
    </row>
    <row r="82" spans="1:6" x14ac:dyDescent="0.2">
      <c r="A82" s="170" t="s">
        <v>99</v>
      </c>
      <c r="B82" s="60"/>
      <c r="C82" s="127"/>
      <c r="D82" s="31"/>
      <c r="E82" s="32"/>
      <c r="F82" s="27"/>
    </row>
    <row r="83" spans="1:6" ht="41.25" x14ac:dyDescent="0.2">
      <c r="A83" s="57" t="s">
        <v>100</v>
      </c>
      <c r="B83" s="28" t="str">
        <f>"Administrar " &amp; ROUND(IF(B2*0.01&lt;=0.3,B2*0.01,0.3),2)/1 &amp; " mL (Puro), por via IM em vasto lateral da coxa. Pode repetir até 3 vezes no total, com intervalo de 15 minutos entre as administrações."</f>
        <v>Administrar 0,23 mL (Puro), por via IM em vasto lateral da coxa. Pode repetir até 3 vezes no total, com intervalo de 15 minutos entre as administrações.</v>
      </c>
      <c r="C83" s="27"/>
      <c r="D83" s="33"/>
      <c r="E83" s="34"/>
      <c r="F83" s="27"/>
    </row>
    <row r="84" spans="1:6" x14ac:dyDescent="0.2">
      <c r="A84" s="170" t="s">
        <v>101</v>
      </c>
      <c r="B84" s="60"/>
      <c r="C84" s="27"/>
      <c r="D84" s="33"/>
      <c r="E84" s="34"/>
      <c r="F84" s="27"/>
    </row>
    <row r="85" spans="1:6" ht="41.25" x14ac:dyDescent="0.2">
      <c r="A85" s="57" t="s">
        <v>102</v>
      </c>
      <c r="B85" s="55" t="str">
        <f>"Administrar "&amp;ROUND(IF(B2 * 1 / 4 / 10 &lt;= 2, B2 * 1 / 4 / 10, 2), 2) &amp; " mL por via EV a cada 6 horas | Administrar " &amp; ROUND(IF(B2 * 1 / 3 / 10 &lt;= 2, B2 * 1 / 3 / 10, 2), 2) &amp; " mL por via EV a cada 8 horas | Administrar " &amp; ROUND(IF(B2 * 1 / 2 / 10 &lt;= 2, B2 * 1 / 2 / 10, 2), 2) &amp; " mL por via EV a cada 12 horas | Pode aumentar ate 5 vezes cada resultado, se necessário."</f>
        <v>Administrar 0,56 mL por via EV a cada 6 horas | Administrar 0,75 mL por via EV a cada 8 horas | Administrar 1,13 mL por via EV a cada 12 horas | Pode aumentar ate 5 vezes cada resultado, se necessário.</v>
      </c>
      <c r="C85" s="27"/>
      <c r="D85" s="33"/>
      <c r="E85" s="34"/>
      <c r="F85" s="27"/>
    </row>
    <row r="86" spans="1:6" x14ac:dyDescent="0.2">
      <c r="A86" s="112" t="s">
        <v>103</v>
      </c>
      <c r="B86" s="60"/>
      <c r="D86" s="33"/>
      <c r="E86" s="34"/>
      <c r="F86" s="27"/>
    </row>
    <row r="87" spans="1:6" ht="27.75" x14ac:dyDescent="0.2">
      <c r="A87" s="113" t="s">
        <v>104</v>
      </c>
      <c r="B87" s="28" t="str">
        <f>"Diluir 1 Ampola(s) em 9 mL de SF 0,9%. Administrar " &amp; ROUND(IF((B2/10)&lt;=10, B2/10, 10), 2) &amp; " mL da mistura por via EV em bolus de 3 a 5 minutos."</f>
        <v>Diluir 1 Ampola(s) em 9 mL de SF 0,9%. Administrar 2,25 mL da mistura por via EV em bolus de 3 a 5 minutos.</v>
      </c>
      <c r="C87" s="27"/>
      <c r="D87" s="33"/>
      <c r="E87" s="34"/>
      <c r="F87" s="27"/>
    </row>
    <row r="88" spans="1:6" ht="27.75" x14ac:dyDescent="0.2">
      <c r="A88" s="113" t="s">
        <v>105</v>
      </c>
      <c r="B88" s="55" t="str">
        <f>"Administrar " &amp; ROUND(IF(B2*5&lt;=IF(B2*10&lt;=300,B2*10,300),B2*5,IF(B2*10&lt;=300,B2*10,300))/50,2) &amp; " mL por via EV em bolus sem diluição. (Pode ser repetida até no máximo 3 vezes)."</f>
        <v>Administrar 2,25 mL por via EV em bolus sem diluição. (Pode ser repetida até no máximo 3 vezes).</v>
      </c>
      <c r="C88" s="27"/>
      <c r="D88" s="33"/>
      <c r="E88" s="34"/>
      <c r="F88" s="27"/>
    </row>
    <row r="89" spans="1:6" x14ac:dyDescent="0.2">
      <c r="A89" s="113" t="s">
        <v>106</v>
      </c>
      <c r="B89" s="55" t="str">
        <f>"Administrar " &amp; ROUND(IF(B2*60&lt;=3000,B2*60,3000)/100,2) &amp; " mL por via EV em bolus lento, puro."</f>
        <v>Administrar 13,5 mL por via EV em bolus lento, puro.</v>
      </c>
      <c r="C89" s="27"/>
      <c r="D89" s="33"/>
      <c r="E89" s="34"/>
      <c r="F89" s="27"/>
    </row>
    <row r="90" spans="1:6" x14ac:dyDescent="0.2">
      <c r="A90" s="113" t="s">
        <v>107</v>
      </c>
      <c r="B90" s="55" t="str">
        <f>"Administrar " &amp; ROUND(IF(B2*1&lt;=IF(B2*3&lt;=75,B2*3,75),B2*1,IF(B2*3&lt;=75,B2*3,75))/20,2) &amp; " mL por via EV em bolus lento."</f>
        <v>Administrar 1,13 mL por via EV em bolus lento.</v>
      </c>
      <c r="C90" s="27"/>
      <c r="D90" s="33"/>
      <c r="E90" s="34"/>
      <c r="F90" s="27"/>
    </row>
    <row r="91" spans="1:6" ht="27.75" x14ac:dyDescent="0.2">
      <c r="A91" s="113" t="s">
        <v>108</v>
      </c>
      <c r="B91" s="55" t="str">
        <f>"Diluir " &amp; ROUNDUP(B2,1) &amp; " mL de Bicarbonato de Sódio 8,4% + " &amp; ROUNDUP(B2,1) &amp; " mL de SF 0,9%. Administrar " &amp; ROUNDUP(B2*2,1) &amp; " mL por via EV em bolus lento."</f>
        <v>Diluir 22,5 mL de Bicarbonato de Sódio 8,4% + 22,5 mL de SF 0,9%. Administrar 45 mL por via EV em bolus lento.</v>
      </c>
      <c r="C91" s="27"/>
      <c r="D91" s="33"/>
      <c r="E91" s="34"/>
      <c r="F91" s="27"/>
    </row>
    <row r="92" spans="1:6" x14ac:dyDescent="0.2">
      <c r="A92" s="113" t="s">
        <v>109</v>
      </c>
      <c r="B92" s="55" t="str">
        <f>"Administrar " &amp; ROUNDUP(B2*0.5/0.1,1) &amp; " mL de Glicose 10% por via EV em bolus."</f>
        <v>Administrar 112,5 mL de Glicose 10% por via EV em bolus.</v>
      </c>
      <c r="C92" s="27"/>
      <c r="D92" s="33"/>
      <c r="E92" s="34"/>
      <c r="F92" s="27"/>
    </row>
    <row r="93" spans="1:6" ht="27.75" x14ac:dyDescent="0.2">
      <c r="A93" s="113" t="s">
        <v>110</v>
      </c>
      <c r="B93" s="55" t="str">
        <f>"Diluir " &amp; ROUNDUP(B2*0.5/0.125/2,1) &amp; " mL de Glicose 25% + " &amp; ROUNDUP(B2*0.5/0.125/2,1) &amp; " mL de água destilada. Administrar " &amp; ROUNDUP(B2*0.5/0.125,1) &amp; " mL por via EV em bolus."</f>
        <v>Diluir 45 mL de Glicose 25% + 45 mL de água destilada. Administrar 90 mL por via EV em bolus.</v>
      </c>
      <c r="C93" s="27"/>
      <c r="D93" s="33"/>
      <c r="E93" s="34"/>
      <c r="F93" s="27"/>
    </row>
    <row r="94" spans="1:6" ht="27.75" x14ac:dyDescent="0.2">
      <c r="A94" s="113" t="s">
        <v>111</v>
      </c>
      <c r="B94" s="55" t="str">
        <f>"Diluir " &amp; ROUNDUP(B2*0.5/0.125/4,1) &amp; " mL de Glicose 50% + " &amp; ROUNDUP(B2*0.5/0.125/4*3,1) &amp; " mL de água destilada. Administrar " &amp; ROUNDUP(B2*0.5/0.125,1) &amp; " mL por via EV em bolus."</f>
        <v>Diluir 22,5 mL de Glicose 50% + 67,5 mL de água destilada. Administrar 90 mL por via EV em bolus.</v>
      </c>
      <c r="C94" s="27"/>
      <c r="D94" s="33"/>
      <c r="E94" s="34"/>
      <c r="F94" s="27"/>
    </row>
    <row r="95" spans="1:6" x14ac:dyDescent="0.2">
      <c r="A95" s="114" t="s">
        <v>112</v>
      </c>
      <c r="B95" s="60"/>
      <c r="C95" s="27"/>
      <c r="D95" s="33"/>
      <c r="E95" s="34"/>
      <c r="F95" s="27"/>
    </row>
    <row r="96" spans="1:6" ht="54.75" x14ac:dyDescent="0.2">
      <c r="A96" s="110" t="s">
        <v>113</v>
      </c>
      <c r="B96" s="55" t="str">
        <f>"Primeira dose: Administrar " &amp; ROUNDUP(IF(B2*0.1&lt;=6,B2*0.1,6)/3,2) &amp; " mL por via EV, em bolus. Após, fazer 20 mL de SF 0,9% em bolus utilizando o (Three Way) | Segunda dose: Administrar " &amp; ROUNDUP(IF(B2*0.2&lt;=12,B2*0.2,12)/3,2) &amp; " mL por via EV, em bolus. Após, fazer 20 mL de SF 0,9% em bolus utilizando o (Three Way)."</f>
        <v>Primeira dose: Administrar 0,75 mL por via EV, em bolus. Após, fazer 20 mL de SF 0,9% em bolus utilizando o (Three Way) | Segunda dose: Administrar 1,5 mL por via EV, em bolus. Após, fazer 20 mL de SF 0,9% em bolus utilizando o (Three Way).</v>
      </c>
      <c r="C96" s="27"/>
      <c r="D96" s="33"/>
      <c r="E96" s="34"/>
      <c r="F96" s="27"/>
    </row>
    <row r="97" spans="1:6" x14ac:dyDescent="0.2">
      <c r="A97" s="114" t="s">
        <v>114</v>
      </c>
      <c r="B97" s="60"/>
      <c r="C97" s="27"/>
      <c r="D97" s="33"/>
      <c r="E97" s="34"/>
      <c r="F97" s="27"/>
    </row>
    <row r="98" spans="1:6" ht="41.25" x14ac:dyDescent="0.2">
      <c r="A98" s="110" t="s">
        <v>115</v>
      </c>
      <c r="B98" s="55" t="str">
        <f>"Reconstituir "&amp;ROUNDUP(MIN(B2*15,750)/250,0)&amp;" frasco(s) com "&amp;ROUNDUP(MIN(B2*15,750)/250,0)*10&amp;" mL de AD. Diluir "&amp;ROUNDUP(MIN(B2*15,750)/25,1)&amp;" mL da solução reconstituida com "&amp;ROUNDUP((MIN(B2*15,750)/7)-ROUNDUP(MIN(B2*15,750)/25,2),1)&amp;" mL de SF 0,9%. Infundir por via EV a "&amp;ROUNDUP((MIN(B2*15,750)/7)/1,1)&amp;" mL/hora. Administrar de 8/8 horas. Por 7 a 21 dias.(15mg/kg/dose)"</f>
        <v>Reconstituir 2 frasco(s) com 20 mL de AD. Diluir 13,5 mL da solução reconstituida com 34,8 mL de SF 0,9%. Infundir por via EV a 48,3 mL/hora. Administrar de 8/8 horas. Por 7 a 21 dias.(15mg/kg/dose)</v>
      </c>
      <c r="C98" s="27"/>
      <c r="D98" s="33"/>
      <c r="E98" s="34"/>
      <c r="F98" s="27"/>
    </row>
    <row r="99" spans="1:6" ht="41.25" x14ac:dyDescent="0.2">
      <c r="A99" s="116" t="s">
        <v>115</v>
      </c>
      <c r="B99" s="106" t="str">
        <f>"Reconstituir "&amp;ROUNDUP(MIN(B2*10,750)/250,0)&amp;" frasco(s) com "&amp;ROUNDUP(MIN(B2*10,750)/250,0)*10&amp;" mL de AD. Diluir "&amp;ROUNDUP(MIN(B2*10,750)/25,1)&amp;" mL da solução reconstituida com "&amp;ROUNDUP((MIN(B2*10,750)/7)-ROUNDUP(MIN(B2*10,750)/25,2),1)&amp;" mL de SF 0,9%. Infundir por via EV a "&amp;ROUNDUP((MIN(B2*10,750)/7)/1,1)&amp;" mL/hora. Administrar de 8/8 horas. Por 7 a 21 dias.(10mg/kg/dose)"</f>
        <v>Reconstituir 1 frasco(s) com 10 mL de AD. Diluir 9 mL da solução reconstituida com 23,2 mL de SF 0,9%. Infundir por via EV a 32,2 mL/hora. Administrar de 8/8 horas. Por 7 a 21 dias.(10mg/kg/dose)</v>
      </c>
      <c r="C99" s="27"/>
      <c r="D99" s="33"/>
      <c r="E99" s="34"/>
      <c r="F99" s="27"/>
    </row>
    <row r="100" spans="1:6" x14ac:dyDescent="0.2">
      <c r="A100" s="115" t="s">
        <v>116</v>
      </c>
      <c r="B100" s="60"/>
      <c r="C100" s="33"/>
      <c r="D100" s="33"/>
      <c r="E100" s="34"/>
      <c r="F100" s="27"/>
    </row>
    <row r="101" spans="1:6" ht="41.25" x14ac:dyDescent="0.2">
      <c r="A101" s="57" t="s">
        <v>117</v>
      </c>
      <c r="B101" s="28" t="str">
        <f>"Reconstituir "&amp;IF((B2*100)&gt;2000,ROUNDUP(MIN(B2*100/2,2000)/1000,0),ROUNDUP(MIN(B2*100,4000)/1000,0))&amp;" frasco(s) com "&amp;IF((B2*100)&gt;2000,ROUNDUP(MIN(B2*100/2,2000)/1000,0),ROUNDUP(MIN(B2*100,4000)/1000,0))*5&amp;" mL de AD. Administrar "&amp;IF((B2*100)&gt;2000,ROUND(MIN(B2*100/2,2000)/200,1),ROUND(MIN(B2*100,4000)/200,1))&amp;" mL por via EV diluído em 100 mL de SF 0,9% "&amp;IF((B2*100)&gt;2000,"a cada 12/12 horas","a cada 24/24 horas")&amp;". Infundir em 60 minutos.(100mg/kg/dia)."</f>
        <v>Reconstituir 2 frasco(s) com 10 mL de AD. Administrar 5,6 mL por via EV diluído em 100 mL de SF 0,9% a cada 12/12 horas. Infundir em 60 minutos.(100mg/kg/dia).</v>
      </c>
      <c r="C101" s="27"/>
      <c r="D101" s="33"/>
      <c r="E101" s="32"/>
      <c r="F101" s="27"/>
    </row>
    <row r="102" spans="1:6" ht="41.25" x14ac:dyDescent="0.2">
      <c r="A102" s="116" t="s">
        <v>117</v>
      </c>
      <c r="B102" s="106" t="str">
        <f>"Reconstituir "&amp;IF((B2*50)&gt;2000,ROUNDUP(MIN(B2*50/2,2000)/1000,0),ROUNDUP(MIN(B2*50,4000)/1000,0))&amp;" frasco(s) com "&amp;IF((B2*50)&gt;2000,ROUNDUP(MIN(B2*50/2,2000)/1000,0),ROUNDUP(MIN(B2*50,4000)/1000,0))*5&amp;" mL de AD. Administrar "&amp;IF((B2*50)&gt;2000,ROUND(MIN(B2*50/2,2000)/200,1),ROUND(MIN(B2*50,4000)/200,1))&amp;" mL por via EV diluído em 100 mL de SF 0,9% "&amp;IF((B2*50)&gt;2000,"a cada 12/12 horas","a cada 24/24 horas")&amp;". Infundir em 60 minutos.(50mg/kg/dia)."</f>
        <v>Reconstituir 2 frasco(s) com 10 mL de AD. Administrar 5,6 mL por via EV diluído em 100 mL de SF 0,9% a cada 24/24 horas. Infundir em 60 minutos.(50mg/kg/dia).</v>
      </c>
      <c r="C102" s="27"/>
      <c r="D102" s="33"/>
      <c r="E102" s="32"/>
      <c r="F102" s="27"/>
    </row>
    <row r="103" spans="1:6" ht="27.75" x14ac:dyDescent="0.2">
      <c r="A103" s="109" t="s">
        <v>118</v>
      </c>
      <c r="B103" s="55" t="str">
        <f>"Administrar "&amp;ROUNDUP(MIN(B2*15,1500)/50/3,1)&amp;" mL diluído em "&amp;IF(ROUNDUP(MIN(B2*15,1500)/50/3,1)&lt;=20,"50 mL","100 mL")&amp;" de SF 0,9% por via EV de 8/8 horas. Infundir em "&amp;IF(ROUNDUP(MIN(B2*15,1500)/50/3,1)&lt;=20,"30 minutos","60 minutos")&amp;"."</f>
        <v>Administrar 2,3 mL diluído em 50 mL de SF 0,9% por via EV de 8/8 horas. Infundir em 30 minutos.</v>
      </c>
      <c r="C103" s="27"/>
      <c r="D103" s="33"/>
      <c r="E103" s="34"/>
      <c r="F103" s="27"/>
    </row>
    <row r="104" spans="1:6" ht="27.75" x14ac:dyDescent="0.2">
      <c r="A104" s="57" t="s">
        <v>119</v>
      </c>
      <c r="B104" s="55" t="str">
        <f>"Administrar "&amp;ROUNDUP(MIN(B2*15,1500)/125/3,1)&amp;" mL diluído em "&amp;IF(ROUNDUP(MIN(B2*15,1500)/125/3,1)&lt;=20,"50 mL","100 mL")&amp;" de SF 0,9% por via EV de 8/8 horas. Infundir em "&amp;IF(ROUNDUP(MIN(B2*15,1500)/125/3,1)&lt;=20,"30 minutos","60 minutos")&amp;"."</f>
        <v>Administrar 0,9 mL diluído em 50 mL de SF 0,9% por via EV de 8/8 horas. Infundir em 30 minutos.</v>
      </c>
      <c r="C104" s="27"/>
      <c r="D104" s="33"/>
      <c r="E104" s="32"/>
      <c r="F104" s="27"/>
    </row>
    <row r="105" spans="1:6" ht="41.25" x14ac:dyDescent="0.2">
      <c r="A105" s="57" t="s">
        <v>120</v>
      </c>
      <c r="B105" s="55" t="str">
        <f>"Reconstituir 1 frasco(s) com 20 mL de AD. Administrar " &amp; ROUNDUP(IF(B1&lt;=0.3,IF(B2*25&lt;=1000,B2*25,1000)/50,IF(B2*25&lt;=1000,B2*25,1000)/50),1) &amp; " mL diluído em " &amp; IF(B1&lt;=0.3,"50","100") &amp; " mL de SF 0,9%. Infundir por via EV direto " &amp; IF(B1&lt;=0.3,"12/12 horas","8/8 horas") &amp; ".Fazer em 30 minutos."</f>
        <v>Reconstituir 1 frasco(s) com 20 mL de AD. Administrar 11,3 mL diluído em 100 mL de SF 0,9%. Infundir por via EV direto 8/8 horas.Fazer em 30 minutos.</v>
      </c>
      <c r="C105" s="48"/>
      <c r="D105" s="33"/>
      <c r="E105" s="34"/>
      <c r="F105" s="27"/>
    </row>
    <row r="106" spans="1:6" ht="41.25" x14ac:dyDescent="0.2">
      <c r="A106" s="57" t="s">
        <v>121</v>
      </c>
      <c r="B106" s="55" t="str">
        <f>"Reconstituir " &amp; IF(B2*25&lt;=1000,ROUNDUP(IF(B2*25&lt;=500,1,2),0),2) &amp; " frasco(s) com " &amp; IF(B2*25&lt;=1000,ROUNDUP(IF(B2*25&lt;=500,10,20),0),20) &amp; " mL de AD. Administrar " &amp; ROUNDUP(IF(B2*25&lt;=1000,B2*25,1000)/50,1) &amp; " mL diluído em " &amp; IF(B3&lt;=3,"50","100") &amp; " mL de SF 0,9%. Infundir por via EV direto " &amp; IF(B3&lt;=3,"12/12 horas","8/8 horas") &amp; ".Fazer em 30 minutos."</f>
        <v>Reconstituir 2 frasco(s) com 20 mL de AD. Administrar 11,3 mL diluído em 50 mL de SF 0,9%. Infundir por via EV direto 12/12 horas.Fazer em 30 minutos.</v>
      </c>
      <c r="C106" s="48"/>
      <c r="D106" s="33"/>
      <c r="E106" s="34"/>
      <c r="F106" s="27"/>
    </row>
    <row r="107" spans="1:6" ht="41.25" x14ac:dyDescent="0.2">
      <c r="A107" s="57" t="s">
        <v>122</v>
      </c>
      <c r="B107" s="28" t="str">
        <f>"Reconstituir "&amp;ROUNDUP(IF(B2*100&gt;12000,12000,B2*100)/4000,0)&amp;" frasco(s) com "&amp;ROUNDUP(IF(B2*100&gt;12000,12000,B2*100)/4000,0)*3&amp;" mL de AD. Administrar "&amp;ROUND(IF(B2*100&gt;12000,12000/4,B2*100/4)/1000,1)*3&amp;" mL da mistura diluído em 50 a 100 mL de SF 0,9%, SG 5% ou RL por via EV, a cada 6/6 horas. Infundir em 30 minutos."</f>
        <v>Reconstituir 1 frasco(s) com 3 mL de AD. Administrar 1,8 mL da mistura diluído em 50 a 100 mL de SF 0,9%, SG 5% ou RL por via EV, a cada 6/6 horas. Infundir em 30 minutos.</v>
      </c>
      <c r="D107" s="33"/>
      <c r="E107" s="34"/>
      <c r="F107" s="27"/>
    </row>
    <row r="108" spans="1:6" ht="47.25" customHeight="1" x14ac:dyDescent="0.2">
      <c r="A108" s="57" t="s">
        <v>123</v>
      </c>
      <c r="B108" s="28" t="str">
        <f>"Reconstituir " &amp; ROUNDUP(IF(B2*40&gt;2500,2500,B2*40)/1000,0) &amp; " frasco(s) com " &amp; ROUNDUP(IF(B2*40&gt;2500,2500,B2*40)/1000,0)*10 &amp; " mL de água destilada. Administrar " &amp; ROUNDUP(IF(B2*40&gt;2500,2500,B2*40)/100,1) &amp; " mL da solução diluído em 100 mL de SF 0,9%. Infundir por via EV de 6/6 horas. Fazer em 30 minutos."</f>
        <v>Reconstituir 1 frasco(s) com 10 mL de água destilada. Administrar 9 mL da solução diluído em 100 mL de SF 0,9%. Infundir por via EV de 6/6 horas. Fazer em 30 minutos.</v>
      </c>
      <c r="D108" s="33"/>
      <c r="E108" s="34"/>
      <c r="F108" s="27"/>
    </row>
    <row r="109" spans="1:6" ht="41.25" x14ac:dyDescent="0.2">
      <c r="A109" s="57" t="s">
        <v>124</v>
      </c>
      <c r="B109" s="28" t="str">
        <f>"Reconstituir "&amp;ROUNDUP(IF(B2*100&gt;12000,12000,B2*100)/2000,0)&amp;" frasco(s) com "&amp;ROUNDUP(IF(B2*100&gt;12000,12000,B2*100)/2000,0)*5&amp;" mL de AD ou SF 0,9%. Administrar "&amp;ROUND(IF(B2*100&gt;12000,12000/4,B2*100/4)/500,1)*5&amp;" mL da mistura diluído em 50 a 100 mL de SF 0,9%, SG 5% ou RL por via EV, a cada 6/6 horas. Infundir em 30 minutos."</f>
        <v>Reconstituir 2 frasco(s) com 10 mL de AD ou SF 0,9%. Administrar 5,5 mL da mistura diluído em 50 a 100 mL de SF 0,9%, SG 5% ou RL por via EV, a cada 6/6 horas. Infundir em 30 minutos.</v>
      </c>
      <c r="C109" s="126"/>
      <c r="D109" s="33"/>
      <c r="E109" s="34"/>
      <c r="F109" s="27"/>
    </row>
    <row r="110" spans="1:6" ht="27.75" x14ac:dyDescent="0.2">
      <c r="A110" s="57" t="s">
        <v>125</v>
      </c>
      <c r="B110" s="28" t="str">
        <f>"Administrar " &amp;ROUND(IF(B1&lt;5,(B2*5)/40,(B2*7.5)/40),1)&amp; " mL diluído em 50 a 100 mL de SF 0,9%, SG 5% ou RL por via EV, a cada 24/24 horas. Infundir em 30 minutos."</f>
        <v>Administrar 4,2 mL diluído em 50 a 100 mL de SF 0,9%, SG 5% ou RL por via EV, a cada 24/24 horas. Infundir em 30 minutos.</v>
      </c>
      <c r="C110" s="27"/>
      <c r="D110" s="33"/>
      <c r="E110" s="27"/>
      <c r="F110" s="27"/>
    </row>
    <row r="111" spans="1:6" ht="27.75" x14ac:dyDescent="0.2">
      <c r="A111" s="57" t="s">
        <v>126</v>
      </c>
      <c r="B111" s="28" t="str">
        <f>"Administrar "&amp;ROUND(IF(B2*40&gt;2700,2700/3,B2*40/3)/150,1)&amp;" mL diluído em 50 a 100 mL de SF 0,9%, SG 5% ou RL por via EV, a cada 8/8 horas. Infundir em 30 minutos."</f>
        <v>Administrar 2 mL diluído em 50 a 100 mL de SF 0,9%, SG 5% ou RL por via EV, a cada 8/8 horas. Infundir em 30 minutos.</v>
      </c>
      <c r="C111" s="27"/>
      <c r="D111" s="33"/>
      <c r="E111" s="27"/>
      <c r="F111" s="27"/>
    </row>
    <row r="112" spans="1:6" ht="41.25" x14ac:dyDescent="0.2">
      <c r="A112" s="57" t="s">
        <v>127</v>
      </c>
      <c r="B112" s="28" t="str">
        <f>"Reconstituir " &amp;ROUNDUP(IF(B2*10&gt;2000,2000,B2*10)/500,0)&amp;" frasco(s) com " &amp; ROUNDUP(IF(B2*10&gt;2000,2000,B2*10)/500,0)*5 &amp; " mL de AD. Administrar "&amp;ROUND(IF(B2*10&gt;2000,2000,B2*10)/500,1)*5&amp;" mL da mistura diluído em 100 mL de SF 0,9% por via EV, a cada 6/6 horas. Infundir em 60 minutos."</f>
        <v>Reconstituir 1 frasco(s) com 5 mL de AD. Administrar 2,5 mL da mistura diluído em 100 mL de SF 0,9% por via EV, a cada 6/6 horas. Infundir em 60 minutos.</v>
      </c>
      <c r="C112" s="27"/>
      <c r="D112" s="33"/>
      <c r="E112" s="27"/>
      <c r="F112" s="27"/>
    </row>
    <row r="113" spans="1:6" ht="41.25" x14ac:dyDescent="0.2">
      <c r="A113" s="57" t="s">
        <v>128</v>
      </c>
      <c r="B113" s="28" t="str">
        <f>"Reconstituir "&amp;ROUNDUP(IF(B2*40*3&gt;6000,6000,B2*40*3)/1500,0)&amp;" frasco(s) com "&amp;ROUNDUP(IF(B2*40*3&gt;6000,6000,B2*40*3)/1500,0)*5&amp;" mL de AD. Administrar "&amp;ROUNDUP(IF(B2*40&gt;2000,2000,B2*40)/500,1)*5&amp;" mL da mistura diluído em 50 a 100 mL de SF 0,9% ou SG 5% por via EV, a cada 8/8 horas. Infundir em 30 minutos."</f>
        <v>Reconstituir 2 frasco(s) com 10 mL de AD. Administrar 9 mL da mistura diluído em 50 a 100 mL de SF 0,9% ou SG 5% por via EV, a cada 8/8 horas. Infundir em 30 minutos.</v>
      </c>
      <c r="C113" s="27"/>
      <c r="D113" s="33"/>
      <c r="E113" s="27"/>
      <c r="F113" s="27"/>
    </row>
    <row r="114" spans="1:6" ht="41.25" x14ac:dyDescent="0.2">
      <c r="A114" s="57" t="s">
        <v>129</v>
      </c>
      <c r="B114" s="28" t="str">
        <f>"Reconstituir "&amp;ROUNDUP(IF(B2*100&gt;12000,12000,B2*100)/4000,0)&amp;" ampola(s) com "&amp;ROUNDUP(IF(B2*100&gt;12000,12000,B2*100)/4000,0)*3&amp;" mL de AD. Administrar "&amp;ROUNDUP(IF(B2*100&gt;12000,12000/3,B2*100/3)/1500,1)*3&amp;" mL da mistura diluído em 50 a 100 mL de SF 0,9% ou SG 5% por via EV, a cada 8/8 horas. Infundir em 30 minutos."</f>
        <v>Reconstituir 1 ampola(s) com 3 mL de AD. Administrar 1,5 mL da mistura diluído em 50 a 100 mL de SF 0,9% ou SG 5% por via EV, a cada 8/8 horas. Infundir em 30 minutos.</v>
      </c>
      <c r="C114" s="27"/>
      <c r="D114" s="33"/>
      <c r="E114" s="27"/>
      <c r="F114" s="27"/>
    </row>
    <row r="115" spans="1:6" ht="27.75" x14ac:dyDescent="0.2">
      <c r="A115" s="84" t="s">
        <v>130</v>
      </c>
      <c r="B115" s="28" t="str">
        <f>"Reconstituir "&amp;ROUNDUP(IF(B1&lt;=0.9,MIN(B2*80,16000)/4000,MIN(B2*100,16000)/4000),0)&amp;" frasco(s) com "&amp;ROUNDUP(IF(B1&lt;=0.9,MIN(B2*80,16000)/4000,MIN(B2*100,16000)/4000),0)*4&amp;" mL de AD. Administrar "&amp;ROUNDUP(IF(B1&lt;=0,MIN(B2*80,16000)/1000,MIN(B2*100,16000)/1000),1)&amp;" mL diluído em "&amp;IF(B1&lt;=0.9,"50 mL","100 mL")&amp;" de SF 0,9% por via EV de "&amp;IF(B1&lt;=0.9,"6/6 horas","8/8 horas")&amp;". Infundir em 60 minutos."</f>
        <v>Reconstituir 1 frasco(s) com 4 mL de AD. Administrar 2,3 mL diluído em 100 mL de SF 0,9% por via EV de 8/8 horas. Infundir em 60 minutos.</v>
      </c>
      <c r="C115" s="48"/>
      <c r="D115" s="33"/>
      <c r="E115" s="27"/>
      <c r="F115" s="27"/>
    </row>
    <row r="116" spans="1:6" ht="41.25" x14ac:dyDescent="0.2">
      <c r="A116" s="113" t="s">
        <v>131</v>
      </c>
      <c r="B116" s="28" t="str">
        <f>IF(B1&lt;=4,"Dose de ataque: Administrar "&amp;ROUND(IF(B2*15&gt;4000,4000,B2*15)/5,1)&amp;" mL por via EV. (Infundir em 60 minutos) | Dose de manutenção: Administrar "&amp;ROUND(IF(B2*7.5*2&gt;4000,4000/2,B2*7.5)/5,1)&amp;" mL por via EV de 12/12 horas. (Infundir em 60 minutos)","Dose de ataque: Administrar "&amp;ROUND(IF(B2*15&gt;4000,4000,B2*15)/5,1)&amp;" mL por via EV. (Infundir em 60 minutos) | Dose de manutenção: Administrar "&amp;ROUND(IF(B2*7.5*3&gt;4000,4000/3,B2*7.5)/5,1)&amp;" mL por via EV de 8/8 horas. (Infundir em 60 minutos)")</f>
        <v>Dose de ataque: Administrar 67,5 mL por via EV. (Infundir em 60 minutos) | Dose de manutenção: Administrar 33,8 mL por via EV de 8/8 horas. (Infundir em 60 minutos)</v>
      </c>
      <c r="C116" s="27"/>
      <c r="D116" s="33"/>
      <c r="E116" s="27"/>
      <c r="F116" s="27"/>
    </row>
    <row r="117" spans="1:6" ht="41.25" x14ac:dyDescent="0.2">
      <c r="A117" s="113" t="s">
        <v>132</v>
      </c>
      <c r="B117" s="55" t="str">
        <f>"Reconstituir 1 frasco(s) com 10 mL de AD. Administrar " &amp; ROUNDUP(IF(B2*7.5&lt;=500,B2*7.5,500)/50,1) &amp; " mL diluído em 100 mL de SF 0,9% ou SG 5%  por via EV, de 12/12 horas. Infundir em 30 minutos."</f>
        <v>Reconstituir 1 frasco(s) com 10 mL de AD. Administrar 3,4 mL diluído em 100 mL de SF 0,9% ou SG 5%  por via EV, de 12/12 horas. Infundir em 30 minutos.</v>
      </c>
      <c r="C117" s="27"/>
      <c r="D117" s="33"/>
      <c r="E117" s="27"/>
      <c r="F117" s="27"/>
    </row>
    <row r="118" spans="1:6" x14ac:dyDescent="0.2">
      <c r="A118" s="114" t="s">
        <v>133</v>
      </c>
      <c r="B118" s="60"/>
      <c r="C118" s="27"/>
      <c r="D118" s="33"/>
      <c r="E118" s="27"/>
      <c r="F118" s="27"/>
    </row>
    <row r="119" spans="1:6" ht="27.75" x14ac:dyDescent="0.2">
      <c r="A119" s="109" t="s">
        <v>134</v>
      </c>
      <c r="B119" s="28" t="str">
        <f>"Reconstituir "&amp;IF(ROUNDUP((B2*100)/1000,0)&lt;=2,ROUNDUP((B2*100)/1000,0),2)&amp;" frasco(s) com "&amp;IF(ROUNDUP((B2*100)/1000,0)&lt;=2,ROUNDUP((B2*100)/1000,0),2)*2.5&amp;" mL de AD. Administrar "&amp;ROUND(IF((B2*100)&lt;=2000,(B2*100)/400,2000/400),1)&amp;" mL por via IM a cada 24/24 horas. Por 3 a 5 dias."</f>
        <v>Reconstituir 2 frasco(s) com 5 mL de AD. Administrar 5 mL por via IM a cada 24/24 horas. Por 3 a 5 dias.</v>
      </c>
      <c r="C119" s="27"/>
      <c r="D119" s="33"/>
      <c r="E119" s="27"/>
      <c r="F119" s="27"/>
    </row>
    <row r="120" spans="1:6" ht="27.75" x14ac:dyDescent="0.2">
      <c r="A120" s="57" t="s">
        <v>135</v>
      </c>
      <c r="B120" s="28" t="str">
        <f>"Reconstituir "&amp;IF(ROUNDUP((B2*50000)/600000,0)&lt;=2,ROUNDUP((B2*50000)/600000,0),2)&amp;" frasco(s) com "&amp;IF(ROUNDUP((B2*50000)/600000,0)&lt;=2,ROUNDUP((B2*50000)/600000,0),2)*3.2&amp;" mL de diluente para obter uma mistura de "&amp;IF(ROUNDUP((B2*50000)/600000,0)&lt;=2,ROUNDUP((B2*50000)/600000,0),2)*4&amp;" mL. Administrar "&amp;ROUND(IF((B2*50000)&lt;=1200000,(B2*50000)/150000,1200000/150000),1)&amp;" mL por via IM, dose única."</f>
        <v>Reconstituir 2 frasco(s) com 6,4 mL de diluente para obter uma mistura de 8 mL. Administrar 7,5 mL por via IM, dose única.</v>
      </c>
      <c r="C120" s="27"/>
      <c r="D120" s="33"/>
      <c r="E120" s="27"/>
      <c r="F120" s="27"/>
    </row>
    <row r="121" spans="1:6" ht="27.75" x14ac:dyDescent="0.2">
      <c r="A121" s="84" t="s">
        <v>136</v>
      </c>
      <c r="B121" s="28" t="str">
        <f>"Reconstituir "&amp;IF(ROUNDUP((B2*50000)/1200000,0)&lt;=1,ROUNDUP((B2*50000)/1200000,0),1)&amp;" frasco(s) com 3,2 mL de diluente para obter uma mistura de 4 mL. Administrar "&amp;ROUND(IF((B2*50000)&lt;=1200000,(B2*50000)/300000,1200000/300000),1)&amp;" mL por via IM, dose única."</f>
        <v>Reconstituir 1 frasco(s) com 3,2 mL de diluente para obter uma mistura de 4 mL. Administrar 3,8 mL por via IM, dose única.</v>
      </c>
      <c r="C121" s="27"/>
      <c r="D121" s="34"/>
      <c r="E121" s="27"/>
      <c r="F121" s="27"/>
    </row>
    <row r="122" spans="1:6" ht="61.5" customHeight="1" x14ac:dyDescent="0.2">
      <c r="A122" s="57" t="s">
        <v>137</v>
      </c>
      <c r="B122" s="28" t="str">
        <f>"Reconstituir "&amp;ROUNDUP(MIN(B2*50000,5000000)/5000000,0)&amp;" frasco(s) com "&amp;ROUNDUP(MIN(B2*50000,5000000)/5000000,0)*10&amp;" mL de diluente. Pegar "&amp;ROUNDDOWN(MIN(B2*50000,5000000)/500000,2)&amp;" mL da mistura e diluir em "&amp;ROUNDDOWN((MIN(B2*50000,5000000)/10000)-ROUNDDOWN(MIN(B2*50000,5000000)/500000,2),2)&amp;" mL de SG 5% e administrar por via EV bem lento. Correr em 60 minutos. Administrar de "&amp;IF(B1&lt;=0.07,"12/12 horas","8/8 horas")&amp;" (50.000 UI/kg/dose)."</f>
        <v>Reconstituir 1 frasco(s) com 10 mL de diluente. Pegar 2,25 mL da mistura e diluir em 110,25 mL de SG 5% e administrar por via EV bem lento. Correr em 60 minutos. Administrar de 8/8 horas (50.000 UI/kg/dose).</v>
      </c>
      <c r="C122" s="27"/>
      <c r="D122" s="34"/>
      <c r="E122" s="27"/>
      <c r="F122" s="27"/>
    </row>
    <row r="123" spans="1:6" ht="41.25" x14ac:dyDescent="0.2">
      <c r="A123" s="57" t="s">
        <v>138</v>
      </c>
      <c r="B123" s="28" t="str">
        <f>"Reconstituir "&amp;ROUNDUP(MIN(B2*25000,2000000)/1000000,0)&amp;" frasco(s) com "&amp;ROUNDUP(MIN(B2*25000,2000000)/1000000,0)*10&amp;" mL de AD. Pegar "&amp;ROUNDDOWN(MIN(B2*25000,2000000)/100000,2)&amp;" mL da mistura e diluir em "&amp;ROUNDDOWN(IF(MIN(B2*25000,2000000)&lt;=500000,250,250*(MIN(B2*25000,2000000)/500000)),2)&amp;" mL de SG 5%. Infundir por via EV bem lenta, em 2 horas. Administrar de 12/12 horas. (25.000 UI/Kg/Dia)."</f>
        <v>Reconstituir 1 frasco(s) com 10 mL de AD. Pegar 5,62 mL da mistura e diluir em 281,25 mL de SG 5%. Infundir por via EV bem lenta, em 2 horas. Administrar de 12/12 horas. (25.000 UI/Kg/Dia).</v>
      </c>
      <c r="C123" s="27"/>
      <c r="D123" s="34"/>
      <c r="E123" s="27"/>
      <c r="F123" s="27"/>
    </row>
    <row r="124" spans="1:6" x14ac:dyDescent="0.2">
      <c r="A124" s="102" t="s">
        <v>139</v>
      </c>
      <c r="B124" s="60"/>
      <c r="C124" s="33"/>
      <c r="D124" s="33"/>
      <c r="E124" s="27"/>
      <c r="F124" s="27"/>
    </row>
    <row r="125" spans="1:6" ht="27.75" x14ac:dyDescent="0.2">
      <c r="A125" s="57" t="s">
        <v>140</v>
      </c>
      <c r="B125" s="55" t="str">
        <f>"Administrar " &amp; ROUNDUP(IF(B2*2&lt;=B2*13,B2*2,B2*13)/50,1) &amp; " mL diluído em 10 mL de SF 0,9%. Fazer bem lento. Usar uma vez ao dia.(2mg/kg)."</f>
        <v>Administrar 0,9 mL diluído em 10 mL de SF 0,9%. Fazer bem lento. Usar uma vez ao dia.(2mg/kg).</v>
      </c>
      <c r="C125" s="128" t="str">
        <f>"Administrar " &amp; ROUNDUP(IF(B2*1&lt;=B2*13,B2*1,B2*13)/50,1) &amp; " mL diluído em 10 mL de SF 0,9%. Fazer bem lento. Usar uma vez ao dia. (1mg/kg)."</f>
        <v>Administrar 0,5 mL diluído em 10 mL de SF 0,9%. Fazer bem lento. Usar uma vez ao dia. (1mg/kg).</v>
      </c>
      <c r="D125" s="33"/>
      <c r="E125" s="27"/>
      <c r="F125" s="27"/>
    </row>
    <row r="126" spans="1:6" x14ac:dyDescent="0.2">
      <c r="A126" s="57" t="s">
        <v>141</v>
      </c>
      <c r="B126" s="55" t="str">
        <f>"Administrar " &amp; ROUNDUP(IF(B2*0.2&lt;=10,B2*0.2,10)/5,1) &amp; " mL por via IM ou EV."</f>
        <v>Administrar 0,9 mL por via IM ou EV.</v>
      </c>
      <c r="D126" s="33"/>
      <c r="E126" s="27"/>
      <c r="F126" s="27"/>
    </row>
    <row r="127" spans="1:6" ht="27.75" x14ac:dyDescent="0.2">
      <c r="A127" s="57" t="s">
        <v>142</v>
      </c>
      <c r="B127" s="55" t="str">
        <f>"Administrar " &amp; ROUNDUP(IF(B2*2&lt;=B2*18,B2*2,B2*18)/10,1) &amp; " mL por via EV puro sem diluição. Fazer bem lento.(2mg/kg)."</f>
        <v>Administrar 4,5 mL por via EV puro sem diluição. Fazer bem lento.(2mg/kg).</v>
      </c>
      <c r="C127" s="128" t="str">
        <f>"Administrar " &amp; ROUNDUP(IF(B2*1&lt;=B2*18,B2*1,B2*18)/10,1) &amp; " mL por via EV puro sem diluição. Fazer bem lento.(1mg/kg)."</f>
        <v>Administrar 2,3 mL por via EV puro sem diluição. Fazer bem lento.(1mg/kg).</v>
      </c>
      <c r="D127" s="33"/>
      <c r="E127" s="27"/>
      <c r="F127" s="27"/>
    </row>
    <row r="128" spans="1:6" ht="27.75" x14ac:dyDescent="0.2">
      <c r="A128" s="57" t="s">
        <v>143</v>
      </c>
      <c r="B128" s="55" t="str">
        <f>"Administrar " &amp; ROUNDUP(IF(B2*0.3&lt;=20,B2*0.3,20)/2,1) &amp; " mL diluído em 10 mL de SF 0,9%. Fazer lentamente por via EV.(0,3mg/kg)."</f>
        <v>Administrar 3,4 mL diluído em 10 mL de SF 0,9%. Fazer lentamente por via EV.(0,3mg/kg).</v>
      </c>
      <c r="C128" s="128" t="str">
        <f>"Administrar " &amp; ROUNDUP(IF(B2*0.2&lt;=20,B2*0.2,20)/2,1) &amp; " mL diluído em 10 mL de SF 0,9%. Fazer lentamente por via EV.(0,2mg/kg)."</f>
        <v>Administrar 2,3 mL diluído em 10 mL de SF 0,9%. Fazer lentamente por via EV.(0,2mg/kg).</v>
      </c>
      <c r="D128" s="33"/>
      <c r="E128" s="27"/>
      <c r="F128" s="27"/>
    </row>
    <row r="129" spans="1:6" ht="27.75" x14ac:dyDescent="0.2">
      <c r="A129" s="57" t="s">
        <v>144</v>
      </c>
      <c r="B129" s="55" t="str">
        <f>"Administrar " &amp; ROUNDUP(IF(B2*2&lt;=50,B2*2,50)/50,1) &amp; " mL diluído em 10 mL de SF 0,9%. Fazer lentamente por via EV."</f>
        <v>Administrar 0,9 mL diluído em 10 mL de SF 0,9%. Fazer lentamente por via EV.</v>
      </c>
      <c r="C129" s="27"/>
      <c r="D129" s="33"/>
      <c r="E129" s="27"/>
      <c r="F129" s="27"/>
    </row>
    <row r="130" spans="1:6" x14ac:dyDescent="0.2">
      <c r="A130" s="170" t="s">
        <v>145</v>
      </c>
      <c r="B130" s="60"/>
      <c r="C130" s="27"/>
      <c r="D130" s="33"/>
      <c r="E130" s="27"/>
      <c r="F130" s="27"/>
    </row>
    <row r="131" spans="1:6" ht="27.75" x14ac:dyDescent="0.2">
      <c r="A131" s="57" t="s">
        <v>146</v>
      </c>
      <c r="B131" s="55" t="str">
        <f>"Administrar " &amp; ROUNDUP(B2/10,1) &amp; " mL diluído em " &amp; ROUNDUP(ROUNDUP(B2/10,1)/5,0)*10 &amp; " mL de SF 0,9%. Fazer em bolus por via EV."</f>
        <v>Administrar 2,3 mL diluído em 10 mL de SF 0,9%. Fazer em bolus por via EV.</v>
      </c>
      <c r="C131" s="27"/>
      <c r="D131" s="33"/>
      <c r="E131" s="27"/>
      <c r="F131" s="27"/>
    </row>
    <row r="132" spans="1:6" ht="27.75" x14ac:dyDescent="0.2">
      <c r="A132" s="57" t="s">
        <v>147</v>
      </c>
      <c r="B132" s="55" t="str">
        <f>"Reconstituir " &amp; IF(B2*2&lt;=100,1,2) &amp; " frasco(s) com " &amp; IF(B2*2&lt;=100,10,20) &amp; " mL de AD. Administrar " &amp; ROUNDUP(IF(B2*2&lt;=150,B2*2,150)/10,1) &amp; " mL por via EV em bolus."</f>
        <v>Reconstituir 1 frasco(s) com 10 mL de AD. Administrar 4,5 mL por via EV em bolus.</v>
      </c>
      <c r="C132" s="27"/>
      <c r="D132" s="33"/>
      <c r="E132" s="27"/>
      <c r="F132" s="27"/>
    </row>
    <row r="133" spans="1:6" x14ac:dyDescent="0.2">
      <c r="A133" s="170" t="s">
        <v>148</v>
      </c>
      <c r="B133" s="60"/>
      <c r="C133" s="27"/>
      <c r="D133" s="33"/>
      <c r="E133" s="27"/>
      <c r="F133" s="27"/>
    </row>
    <row r="134" spans="1:6" ht="27.75" x14ac:dyDescent="0.2">
      <c r="A134" s="57" t="s">
        <v>149</v>
      </c>
      <c r="B134" s="55" t="str">
        <f>"Administrar " &amp; IF(B2*0.02/0.25&lt;=2,ROUNDUP(B2*0.02/0.25,1),2) &amp; " mL de Atropina por via EV " &amp; IF(B2*0.02/0.25&lt;=2,"sem diluição","diluído em 50 mL de SF 0,9%") &amp; ". Pode repetir uma vez em 5 minutos."</f>
        <v>Administrar 1,8 mL de Atropina por via EV sem diluição. Pode repetir uma vez em 5 minutos.</v>
      </c>
      <c r="C134" s="27"/>
      <c r="D134" s="33"/>
      <c r="E134" s="27"/>
      <c r="F134" s="27"/>
    </row>
    <row r="135" spans="1:6" x14ac:dyDescent="0.2">
      <c r="A135" s="170" t="s">
        <v>150</v>
      </c>
      <c r="B135" s="60"/>
      <c r="C135" s="27"/>
      <c r="D135" s="33"/>
      <c r="E135" s="27"/>
      <c r="F135" s="27"/>
    </row>
    <row r="136" spans="1:6" ht="27.75" x14ac:dyDescent="0.2">
      <c r="A136" s="57" t="s">
        <v>151</v>
      </c>
      <c r="B136" s="55" t="str">
        <f>"Administrar por via EV ou IM: "&amp;ROUNDUP(IF(B2*0.2&lt;=5,(B2*0.2)/5,5/5),2)&amp;" mL/dose, repetir até "&amp;ROUNDUP(IF(B2*0.4&lt;=10,(B2*0.4)/5,10/5),2)&amp;" mL (dose total). | EV contínuo: "&amp;ROUNDUP(IF(B2*0.2&lt;=10,(B2*0.2)/5,10/5),2)&amp;" mL/hora. | Nasal: "&amp;ROUNDUP(IF(B2*0.4&lt;=10,(B2*0.4)/5,10/5),2)&amp;" mL/dose. | Retal: "&amp;ROUNDUP(IF(B2*1&lt;=10,(B2*1)/5,10/5),2)&amp;" mL/dose."</f>
        <v>Administrar por via EV ou IM: 0,9 mL/dose, repetir até 1,8 mL (dose total). | EV contínuo: 0,9 mL/hora. | Nasal: 1,8 mL/dose. | Retal: 2 mL/dose.</v>
      </c>
      <c r="C136" s="27"/>
      <c r="D136" s="33"/>
      <c r="E136" s="27"/>
      <c r="F136" s="27"/>
    </row>
    <row r="137" spans="1:6" ht="27.75" x14ac:dyDescent="0.2">
      <c r="A137" s="57" t="s">
        <v>152</v>
      </c>
      <c r="B137" s="55" t="str">
        <f>"Administrar "&amp;ROUNDUP(IF((B2*0.2)&lt;=20,(B2*0.2)/5,20/5),1)&amp;" mL diluído em 10 mL de SF 0,9%. Administrar por via EV bem lento | Pode repetir até 3 vezes com intervalo de 5 minutos."</f>
        <v>Administrar 0,9 mL diluído em 10 mL de SF 0,9%. Administrar por via EV bem lento | Pode repetir até 3 vezes com intervalo de 5 minutos.</v>
      </c>
      <c r="C137" s="27"/>
      <c r="D137" s="33"/>
      <c r="E137" s="27"/>
      <c r="F137" s="27"/>
    </row>
    <row r="138" spans="1:6" ht="68.25" x14ac:dyDescent="0.2">
      <c r="A138" s="57" t="s">
        <v>153</v>
      </c>
      <c r="B138" s="55" t="str">
        <f>"Administrar "&amp;ROUNDUP(MIN(B2*20,1000)/50,1)&amp;" mL diluído em 100 mL de SF 0,9%. Correr em 20 minutos a uma taxa de "&amp;ROUNDUP(MIN(B2*20,1000)/20/50,2)&amp;" mL/min. Pode repetir mais uma dose de "&amp;ROUNDUP(MIN(B2*10,1000)/50,1)&amp;" mL. Se necessário, caso a convulsão não melhore. Observção: É necessária monitorização cardíaca cuidadosa durante e após a administração intravenosa."</f>
        <v>Administrar 9 mL diluído em 100 mL de SF 0,9%. Correr em 20 minutos a uma taxa de 0,45 mL/min. Pode repetir mais uma dose de 4,5 mL. Se necessário, caso a convulsão não melhore. Observção: É necessária monitorização cardíaca cuidadosa durante e após a administração intravenosa.</v>
      </c>
      <c r="C138" s="27"/>
      <c r="D138" s="33"/>
      <c r="E138" s="27"/>
      <c r="F138" s="27"/>
    </row>
    <row r="139" spans="1:6" ht="68.25" x14ac:dyDescent="0.2">
      <c r="A139" s="57" t="s">
        <v>154</v>
      </c>
      <c r="B139" s="55" t="str">
        <f>"Administrar "&amp;ROUNDUP(MIN(B2*20,1000)/100,1)&amp;" mL diluído em 100 mL de SF 0,9%. Correr em 20 minutos a uma taxa de "&amp;ROUNDUP(MIN(B2*20,1000)/20/100,2)&amp;" mL/min. Pode repetir mais uma dose de "&amp;ROUNDUP(MIN(B2*10,1000)/100,1)&amp;" mL caso a convulsão não melhore após 10 a 15 minutos. Observação: Suporte respiratório adicional pode ser necessário, especialmente ao maximizar a dose de ataque ou com terapia sedativa concomitante."</f>
        <v>Administrar 4,5 mL diluído em 100 mL de SF 0,9%. Correr em 20 minutos a uma taxa de 0,23 mL/min. Pode repetir mais uma dose de 2,3 mL caso a convulsão não melhore após 10 a 15 minutos. Observação: Suporte respiratório adicional pode ser necessário, especialmente ao maximizar a dose de ataque ou com terapia sedativa concomitante.</v>
      </c>
      <c r="C139" s="27"/>
      <c r="D139" s="33"/>
      <c r="E139" s="27"/>
      <c r="F139" s="27"/>
    </row>
    <row r="140" spans="1:6" x14ac:dyDescent="0.2">
      <c r="A140" s="57" t="s">
        <v>155</v>
      </c>
      <c r="B140" s="55" t="str">
        <f>"Administrar "&amp;ROUNDUP(MIN(B2*2,500)/2,0)&amp;" gotas por via oral de 24/24 horas. Uma vez ao dia."</f>
        <v>Administrar 23 gotas por via oral de 24/24 horas. Uma vez ao dia.</v>
      </c>
      <c r="D140" s="25"/>
      <c r="E140" s="27"/>
      <c r="F140" s="27"/>
    </row>
    <row r="141" spans="1:6" ht="27.75" x14ac:dyDescent="0.2">
      <c r="A141" s="57" t="s">
        <v>156</v>
      </c>
      <c r="B141" s="55" t="str">
        <f>"Dose inicial: Tomar "&amp;ROUNDUP(MIN(B2*0.01,B2*0.03)/0.125/2,0)&amp;" gotas por via oral de 12/12 horas. | Dose de manutenção: Tomar "&amp;ROUNDUP(MIN(B2*0.1,B2*0.2)/0.125/2,0)&amp;" gotas por via oral de 12/12 horas."</f>
        <v>Dose inicial: Tomar 1 gotas por via oral de 12/12 horas. | Dose de manutenção: Tomar 9 gotas por via oral de 12/12 horas.</v>
      </c>
      <c r="D141" s="25"/>
      <c r="E141" s="27"/>
      <c r="F141" s="27"/>
    </row>
    <row r="142" spans="1:6" ht="41.25" x14ac:dyDescent="0.2">
      <c r="A142" s="57" t="s">
        <v>157</v>
      </c>
      <c r="B142" s="55" t="str">
        <f>"Administrar "&amp;ROUNDUP(IF(B1&lt;5,MIN(B2*0.55,40)/5,MIN(B2*0.55,75)/5),1)&amp;" mL diluído em "&amp;ROUNDUP(IF(B1&lt;5,MIN(B2*0.55,40)/1,MIN(B2*0.55,75)/1),1)-ROUNDUP(IF(B1&lt;5,MIN(B2*0.55,40)/5,MIN(B2*0.55,75)/5),1)&amp;" mL de SF 0,9% por via EV. Pode repetir a cada 8 horas. Se necessário. Observação: Administrar EV lentamente, por pelo menos 2 minutos."</f>
        <v>Administrar 2,5 mL diluído em 9,9 mL de SF 0,9% por via EV. Pode repetir a cada 8 horas. Se necessário. Observação: Administrar EV lentamente, por pelo menos 2 minutos.</v>
      </c>
      <c r="D142" s="25"/>
      <c r="E142" s="27"/>
      <c r="F142" s="27"/>
    </row>
    <row r="143" spans="1:6" x14ac:dyDescent="0.2">
      <c r="A143" s="170" t="s">
        <v>158</v>
      </c>
      <c r="B143" s="60"/>
      <c r="D143" s="25"/>
      <c r="E143" s="27"/>
      <c r="F143" s="27"/>
    </row>
    <row r="144" spans="1:6" ht="27.75" x14ac:dyDescent="0.2">
      <c r="A144" s="57" t="s">
        <v>159</v>
      </c>
      <c r="B144" s="55" t="str">
        <f>"Administrar "&amp;ROUND((B2 * 0.1 * 1440) / 1000, 2) &amp; " mL de adrenalina + " &amp; ROUND(100 - ((B2 * 0.1 * 1440) / 1000), 2) &amp; " mL de SF 0,9% | Administrar a " &amp; ROUND(250 / 24, 1) &amp; " mL/hora em BIC - Por 24 horas."</f>
        <v>Administrar 3,24 mL de adrenalina + 96,76 mL de SF 0,9% | Administrar a 10,4 mL/hora em BIC - Por 24 horas.</v>
      </c>
      <c r="D144" s="25"/>
      <c r="E144" s="27"/>
      <c r="F144" s="27"/>
    </row>
    <row r="145" spans="1:6" ht="27.75" x14ac:dyDescent="0.2">
      <c r="A145" s="57" t="s">
        <v>160</v>
      </c>
      <c r="B145" s="55" t="str">
        <f>"Administrar "&amp;ROUND((B2 * 0.3 * 1440) / 1000, 2) &amp; " mL de adrenalina + " &amp; ROUND(250 - ((B2 * 0.3 * 1440) / 1000), 2) &amp; " mL de SF 0,9% | Administrar a " &amp; ROUND(250 / 24, 1) &amp; " mL/hora em BIC - Por 24 horas."</f>
        <v>Administrar 9,72 mL de adrenalina + 240,28 mL de SF 0,9% | Administrar a 10,4 mL/hora em BIC - Por 24 horas.</v>
      </c>
      <c r="D145" s="25"/>
      <c r="E145" s="27"/>
      <c r="F145" s="27"/>
    </row>
    <row r="146" spans="1:6" ht="27.75" x14ac:dyDescent="0.2">
      <c r="A146" s="57" t="s">
        <v>161</v>
      </c>
      <c r="B146" s="55" t="str">
        <f>"Administrar "&amp;ROUND((B2 * 0.1 * 1440) / 1000, 2) &amp; " mL de noradrenalina + " &amp; ROUND(250 - ((B2 * 0.1 * 1440) / 1000), 2) &amp; " mL de SF 0,9% | ADMINISTRAR A " &amp; ROUND(250 / 24, 1) &amp; " mL/hora em BIC - Por 24 horas."</f>
        <v>Administrar 3,24 mL de noradrenalina + 246,76 mL de SF 0,9% | ADMINISTRAR A 10,4 mL/hora em BIC - Por 24 horas.</v>
      </c>
      <c r="D146" s="25"/>
      <c r="E146" s="27"/>
      <c r="F146" s="27"/>
    </row>
    <row r="147" spans="1:6" ht="27.75" x14ac:dyDescent="0.2">
      <c r="A147" s="57" t="s">
        <v>162</v>
      </c>
      <c r="B147" s="55" t="str">
        <f>"Administrar "&amp;ROUND((B2 * 5 * 1440) / 12500, 2) &amp; " mL de dobutamina + " &amp; ROUND(250 - ((B2 * 5 * 1440) / 12500), 2) &amp; " mL de SF 0,9% | Administrar a " &amp; ROUND(250 / 24, 1) &amp; " mL/hora em BIC - Por 24 horas."</f>
        <v>Administrar 12,96 mL de dobutamina + 237,04 mL de SF 0,9% | Administrar a 10,4 mL/hora em BIC - Por 24 horas.</v>
      </c>
      <c r="D147" s="25"/>
      <c r="E147" s="27"/>
      <c r="F147" s="27"/>
    </row>
    <row r="148" spans="1:6" ht="27.75" x14ac:dyDescent="0.2">
      <c r="A148" s="57" t="s">
        <v>163</v>
      </c>
      <c r="B148" s="55" t="str">
        <f>"Administrar "&amp;ROUND((B2 * 0.25 * 1440) / 1000, 2) &amp; " mL de milrinona + " &amp; ROUND(192 - ((B2 * 0.25 * 1440) / 1000), 2) &amp; " mL de SF 0,9% | Administrar a " &amp; ROUND(192 / 24, 1) &amp; " mL/hora em BIC - Por 24 horas."</f>
        <v>Administrar 8,1 mL de milrinona + 183,9 mL de SF 0,9% | Administrar a 8 mL/hora em BIC - Por 24 horas.</v>
      </c>
      <c r="D148" s="25"/>
      <c r="E148" s="27"/>
      <c r="F148" s="27"/>
    </row>
    <row r="149" spans="1:6" ht="27.75" x14ac:dyDescent="0.2">
      <c r="A149" s="57" t="s">
        <v>164</v>
      </c>
      <c r="B149" s="55" t="str">
        <f>"Administrar "&amp;ROUND((B2 * 0.3 * 1440) / 25000, 2) &amp; " mL de nitruprussiato + " &amp; ROUND(200 - ((B2 * 0.3 * 1440) / 25000), 2) &amp; " mL de SF 0,9% | Administrar a " &amp; ROUND(200 / 24, 1) &amp; " mL/hora em BIC - Por 24 horas."</f>
        <v>Administrar 0,39 mL de nitruprussiato + 199,61 mL de SF 0,9% | Administrar a 8,3 mL/hora em BIC - Por 24 horas.</v>
      </c>
      <c r="D149" s="25"/>
      <c r="E149" s="27"/>
      <c r="F149" s="27"/>
    </row>
    <row r="150" spans="1:6" ht="27.75" x14ac:dyDescent="0.2">
      <c r="A150" s="57" t="s">
        <v>165</v>
      </c>
      <c r="B150" s="55" t="str">
        <f>"Administrar "&amp;ROUND((B2 * 3 * 24) / 50, 2) &amp; " mL de fentanil + " &amp; ROUND(100 - ((B2 * 3 * 24) / 50), 2) &amp; " mL de SF 0,9% | Administrar a " &amp; ROUND(100 / 24, 1) &amp; " mL/hora em BIC - Por 24 horas."</f>
        <v>Administrar 32,4 mL de fentanil + 67,6 mL de SF 0,9% | Administrar a 4,2 mL/hora em BIC - Por 24 horas.</v>
      </c>
      <c r="D150" s="25"/>
      <c r="E150" s="27"/>
      <c r="F150" s="27"/>
    </row>
    <row r="151" spans="1:6" ht="27.75" x14ac:dyDescent="0.2">
      <c r="A151" s="57" t="s">
        <v>166</v>
      </c>
      <c r="B151" s="55" t="str">
        <f>"Administrar "&amp;ROUND((B2 * 10 * 24) / 10000, 2) &amp; " mL de morfina + " &amp; ROUND(100 - ((B2 * 10 * 24) / 10000), 2) &amp; " mL de SF 0,9% | Administrar a " &amp; ROUND(100 / 24, 1) &amp; " mL/hora em BIC - Por 24 horas."</f>
        <v>Administrar 0,54 mL de morfina + 99,46 mL de SF 0,9% | Administrar a 4,2 mL/hora em BIC - Por 24 horas.</v>
      </c>
      <c r="D151" s="25"/>
      <c r="E151" s="27"/>
      <c r="F151" s="27"/>
    </row>
    <row r="152" spans="1:6" ht="27.75" x14ac:dyDescent="0.2">
      <c r="A152" s="57" t="s">
        <v>167</v>
      </c>
      <c r="B152" s="55" t="str">
        <f>"Administrar "&amp;ROUND((B2 * 0.3 * 24) / 5, 2) &amp; " mL de midazolan + " &amp; ROUND(100 - ((B2 * 0.3 * 24) / 5), 2) &amp; " mL de SF 0,9% | Administrar a " &amp; ROUND(100 / 24, 1) &amp; " mL/hora em BIC - Por 24 horas."</f>
        <v>Administrar 32,4 mL de midazolan + 67,6 mL de SF 0,9% | Administrar a 4,2 mL/hora em BIC - Por 24 horas.</v>
      </c>
      <c r="D152" s="25"/>
      <c r="E152" s="27"/>
      <c r="F152" s="27"/>
    </row>
    <row r="153" spans="1:6" ht="27.75" x14ac:dyDescent="0.2">
      <c r="A153" s="57" t="s">
        <v>168</v>
      </c>
      <c r="B153" s="55" t="str">
        <f>"Administrar "&amp;ROUND((B2 * 10 * 1440) / 50000, 2) &amp; " mL de ketamine + " &amp; ROUND(150 - ((B2 * 10 * 1440) / 50000), 2) &amp; " mL de SF 0,9% | Administrar a " &amp; ROUND(150 / 24, 1) &amp; " mL/hora em BIC - Por 24 horas."</f>
        <v>Administrar 6,48 mL de ketamine + 143,52 mL de SF 0,9% | Administrar a 6,3 mL/hora em BIC - Por 24 horas.</v>
      </c>
      <c r="D153" s="25"/>
      <c r="E153" s="27"/>
      <c r="F153" s="27"/>
    </row>
    <row r="154" spans="1:6" ht="54.75" x14ac:dyDescent="0.2">
      <c r="A154" s="57" t="s">
        <v>169</v>
      </c>
      <c r="B154" s="55" t="str">
        <f>"Dose de ataque =&gt; Administrar " &amp; ROUND((B2 * 15) / 500, 2) &amp; " mL de salbutamol diluido em  " &amp; ROUND(10 - ((B2 * 15) / 500), 2) &amp; " mL de SF 0,9% infundir em 5 minutos. | Dose de infusão contínua =&gt; Administrar " &amp; ROUND((B2 * 5 * 24) / 500, 2) &amp; " mL de salbutamol diluido em  " &amp; ROUND(50 - ((B2 * 5 * 24) / 500), 2) &amp; " mL de SF 0,9% infundir a " &amp; ROUND(50 / 24, 1) &amp; " mL/hora em BIC - Por 24 horas."</f>
        <v>Dose de ataque =&gt; Administrar 0,68 mL de salbutamol diluido em  9,33 mL de SF 0,9% infundir em 5 minutos. | Dose de infusão contínua =&gt; Administrar 5,4 mL de salbutamol diluido em  44,6 mL de SF 0,9% infundir a 2,1 mL/hora em BIC - Por 24 horas.</v>
      </c>
      <c r="D154" s="25"/>
      <c r="E154" s="27"/>
      <c r="F154" s="27"/>
    </row>
    <row r="155" spans="1:6" ht="27.75" x14ac:dyDescent="0.2">
      <c r="A155" s="84" t="s">
        <v>170</v>
      </c>
      <c r="B155" s="55" t="str">
        <f>"Administrar "&amp;ROUND((B2 * 0.2 * 24) / 100, 2) &amp; " mL de dexmedetomidina + " &amp; ROUND(150 - ((B2 * 0.2 * 24) / 100), 2) &amp; " mL de SF 0,9% | Administrar a " &amp; ROUND(150 / 24, 1) &amp; " mL/hora em BIC - Por 24 horas."</f>
        <v>Administrar 1,08 mL de dexmedetomidina + 148,92 mL de SF 0,9% | Administrar a 6,3 mL/hora em BIC - Por 24 horas.</v>
      </c>
      <c r="D155" s="25"/>
      <c r="E155" s="27"/>
      <c r="F155" s="171"/>
    </row>
    <row r="156" spans="1:6" x14ac:dyDescent="0.2">
      <c r="A156" s="170" t="s">
        <v>171</v>
      </c>
      <c r="B156" s="59" t="s">
        <v>172</v>
      </c>
      <c r="C156" s="65" t="s">
        <v>173</v>
      </c>
      <c r="D156" s="59" t="s">
        <v>174</v>
      </c>
      <c r="E156" s="59" t="s">
        <v>175</v>
      </c>
      <c r="F156" s="27"/>
    </row>
    <row r="157" spans="1:6" ht="27.75" x14ac:dyDescent="0.2">
      <c r="A157" s="117" t="s">
        <v>176</v>
      </c>
      <c r="B157" s="45" t="str">
        <f>"SG5%: "&amp;ROUND(((100*B2)*(50-10))/45,1)&amp;" ML | GH50%: "&amp;ROUND(((100*B2)*(10-5))/45,1)&amp;" ML | NaCl 20%: "&amp;ROUND((B2*2)/3.4,1)&amp;" ML | KCl 19,1%: "&amp;ROUND((B2*2)/2.5,1)&amp;" ML | GLUCA 10%: "&amp;ROUND((B2*1)/0.5,1)&amp;" ML | BIC: "&amp;ROUND(((((100*B2)*(50-10))/45)+(((100*B2)*(10-5))/45)+((B2*2)/3.4)+((B2*2)/2.5)+((B2*1)/0.5))/24,0)&amp;" ML/H"</f>
        <v>SG5%: 2000 ML | GH50%: 250 ML | NaCl 20%: 13,2 ML | KCl 19,1%: 18 ML | GLUCA 10%: 45 ML | BIC: 97 ML/H</v>
      </c>
      <c r="C157" s="129" t="str">
        <f>"SG5%: "&amp;ROUND(0.8*((100*B2)*(50-10)/45),1)&amp;" ML | GH50%: "&amp;ROUND(0.8*((100*B2)*(10-5)/45),1)&amp;" ML | NaCl 20%: "&amp;ROUND(0.8*((B2*2)/3.4),1)&amp;" ML | KCl 19,1%: "&amp;ROUND(0.8*((B2*2)/2.5),1)&amp;" ML | GLUCA 10%: "&amp;ROUND(0.8*((B2*1)/0.5),1)&amp;" ML | BIC: "&amp;ROUND(0.8*((((100*B2)*(50-10))/45)+(((100*B2)*(10-5))/45)+((B2*2)/3.4)+((B2*2)/2.5)+((B2*1)/0.5))/24,0)&amp;" ML/H"</f>
        <v>SG5%: 1600 ML | GH50%: 200 ML | NaCl 20%: 10,6 ML | KCl 19,1%: 14,4 ML | GLUCA 10%: 36 ML | BIC: 78 ML/H</v>
      </c>
      <c r="D157" s="45" t="str">
        <f>"SG5%: "&amp;ROUND(0.5*((100*B2)*(50-10)/45),1)&amp;" ML | GH50%: "&amp;ROUND(0.5*((100*B2)*(10-5)/45),1)&amp;" ML | NaCl 20%: "&amp;ROUND(0.5*((B2*2)/3.4),1)&amp;" ML | KCl 19,1%: "&amp;ROUND(0.5*((B2*2)/2.5),1)&amp;" ML | GLUCA 10%: "&amp;ROUND(0.5*((B2*1)/0.5),1)&amp;" ML | BIC: "&amp;ROUND(0.5*((((100*B2)*(50-10))/45)+(((100*B2)*(10-5))/45)+((B2*2)/3.4)+((B2*2)/2.5)+((B2*1)/0.5))/24,0)&amp;" ML/H"</f>
        <v>SG5%: 1000 ML | GH50%: 125 ML | NaCl 20%: 6,6 ML | KCl 19,1%: 9 ML | GLUCA 10%: 22,5 ML | BIC: 48 ML/H</v>
      </c>
      <c r="E157" s="45" t="str">
        <f>"SG5%: "&amp;ROUND(0.3*((100*B2)*(50-10)/45),1)&amp;" ML | GH50%: "&amp;ROUND(0.3*((100*B2)*(10-5)/45),1)&amp;" ML | NaCl 20%: "&amp;ROUND(0.3*((B2*2)/3.4),1)&amp;" ML | KCl 19,1%: "&amp;ROUND(0.3*((B2*2)/2.5),1)&amp;" ML | GLUCA 10%: "&amp;ROUND(0.3*((B2*1)/0.3),1)&amp;" ML | BIC: "&amp;ROUND(0.3*((((100*B2)*(50-10))/45)+(((100*B2)*(10-5))/45)+((B2*2)/3.4)+((B2*2)/2.5)+((B2*1)/0.3))/24,0)&amp;" ML/H"</f>
        <v>SG5%: 600 ML | GH50%: 75 ML | NaCl 20%: 4 ML | KCl 19,1%: 5,4 ML | GLUCA 10%: 22,5 ML | BIC: 29 ML/H</v>
      </c>
      <c r="F157" s="27"/>
    </row>
    <row r="158" spans="1:6" x14ac:dyDescent="0.2">
      <c r="A158" s="170" t="s">
        <v>177</v>
      </c>
      <c r="B158" s="59" t="s">
        <v>178</v>
      </c>
      <c r="C158" s="65" t="s">
        <v>179</v>
      </c>
      <c r="D158" s="59" t="s">
        <v>180</v>
      </c>
      <c r="E158" s="59" t="s">
        <v>181</v>
      </c>
      <c r="F158" s="27"/>
    </row>
    <row r="159" spans="1:6" x14ac:dyDescent="0.2">
      <c r="A159" s="117" t="s">
        <v>182</v>
      </c>
      <c r="B159" s="45" t="str">
        <f>ROUND(IF(B2&lt;=10,B2*100,IF(B2&lt;=20,1000+(B2-10)*50,1500+(B2-20)*20))/250,0)*250&amp;" ML SG5% |"&amp;ROUND((136*ROUND(IF(B2&lt;=10,B2*100,IF(B2&lt;=20,1000+(B2-10)*50,1500+(B2-20)*20))/250,0)*250)/1000/3.4,1)&amp;" ML NaCl 20% |"&amp;ROUND((25*ROUND(IF(B2&lt;=10,B2*100,IF(B2&lt;=20,1000+(B2-10)*50,1500+(B2-20)*20))/250,0)*250)/1000/1.5,1)&amp;" ML KCl 15% |"&amp;ROUND(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1500 ML SG5% |60 ML NaCl 20% |25 ML KCl 15% |66 ML/H BIC</v>
      </c>
      <c r="C159" s="130" t="str">
        <f>ROUND(0.8*ROUND(IF(B2&lt;=10,B2*100,IF(B2&lt;=20,1000+(B2-10)*50,1500+(B2-20)*20))/250,0)*250,0)&amp;" ML SG5% |"&amp;ROUND(0.8*(136*ROUND(IF(B2&lt;=10,B2*100,IF(B2&lt;=20,1000+(B2-10)*50,1500+(B2-20)*20))/250,0)*250)/1000/3.4,1)&amp;" ML NaCl 20% |"&amp;ROUND(0.8*(25*ROUND(IF(B2&lt;=10,B2*100,IF(B2&lt;=20,1000+(B2-10)*50,1500+(B2-20)*20))/250,0)*250)/1000/1.5,1)&amp;" ML KCl 15% |"&amp;ROUND(0.8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1200 ML SG5% |48 ML NaCl 20% |20 ML KCl 15% |53 ML/H BIC</v>
      </c>
      <c r="D159" s="28" t="str">
        <f>ROUND(0.5*ROUND(IF(B2&lt;=10,B2*100,IF(B2&lt;=20,1000+(B2-10)*50,1500+(B2-20)*20))/250,0)*250,0)&amp;" ML SG5% |"&amp;ROUND(0.5*(136*ROUND(IF(B2&lt;=10,B2*100,IF(B2&lt;=20,1000+(B2-10)*50,1500+(B2-20)*20))/250,0)*250)/1000/3.4,1)&amp;" ML NaCl 20% |"&amp;ROUND(0.5*(25*ROUND(IF(B2&lt;=10,B2*100,IF(B2&lt;=20,1000+(B2-10)*50,1500+(B2-20)*20))/250,0)*250)/1000/1.5,1)&amp;" ML KCl 15% |"&amp;ROUND(0.5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750 ML SG5% |30 ML NaCl 20% |12,5 ML KCl 15% |33 ML/H BIC</v>
      </c>
      <c r="E159" s="28" t="str">
        <f>ROUND(0.3*ROUND(IF(B2&lt;=10,B2*100,IF(B2&lt;=20,1000+(B2-10)*50,1500+(B2-20)*20))/250,0)*250,0)&amp;" ML SG5% |"&amp;ROUND(0.3*(136*ROUND(IF(B2&lt;=10,B2*100,IF(B2&lt;=20,1000+(B2-10)*50,1500+(B2-20)*20))/250,0)*250)/1000/3.4,1)&amp;" ML NaCl 20% |"&amp;ROUND(0.3*(25*ROUND(IF(B2&lt;=10,B2*100,IF(B2&lt;=20,1000+(B2-10)*50,1500+(B2-20)*20))/250,0)*250)/1000/1.5,1)&amp;" ML KCl 15% |"&amp;ROUND(0.3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450 ML SG5% |18 ML NaCl 20% |7,5 ML KCl 15% |20 ML/H BIC</v>
      </c>
      <c r="F159" s="27"/>
    </row>
    <row r="160" spans="1:6" x14ac:dyDescent="0.2">
      <c r="A160" s="170" t="s">
        <v>183</v>
      </c>
      <c r="B160" s="60"/>
      <c r="C160" s="131"/>
      <c r="D160" s="59"/>
      <c r="E160" s="60"/>
      <c r="F160" s="27"/>
    </row>
    <row r="161" spans="1:5" ht="27.75" x14ac:dyDescent="0.2">
      <c r="A161" s="109" t="s">
        <v>184</v>
      </c>
      <c r="B161" s="55" t="str">
        <f>"Administrar "&amp;ROUND(IF(B2&lt;=20, B2*0.1/0.4, 2/0.4), 2) &amp; " mL IM/IV/SUBCUTÂNEO pode ser repetido a cada 3 minutos se necessário."</f>
        <v>Administrar 5 mL IM/IV/SUBCUTÂNEO pode ser repetido a cada 3 minutos se necessário.</v>
      </c>
      <c r="D161" s="25"/>
      <c r="E161" s="27"/>
    </row>
    <row r="162" spans="1:5" ht="27.75" x14ac:dyDescent="0.2">
      <c r="A162" s="57" t="s">
        <v>185</v>
      </c>
      <c r="B162" s="55" t="str">
        <f>"Administrar "&amp;ROUND(IF(B2&lt;=20, B2*0.1/1, 2/1), 2) &amp; " mL IM/IV/SUBCUTÂNEO pode ser repetido a cada 3 minutos se necessário."</f>
        <v>Administrar 2 mL IM/IV/SUBCUTÂNEO pode ser repetido a cada 3 minutos se necessário.</v>
      </c>
      <c r="D162" s="25"/>
      <c r="E162" s="171"/>
    </row>
    <row r="163" spans="1:5" ht="47.25" customHeight="1" x14ac:dyDescent="0.2">
      <c r="A163" s="57" t="s">
        <v>186</v>
      </c>
      <c r="B163" s="55" t="str">
        <f>"Administrar "&amp;ROUND(IF(B2*0.01&lt;=0.2, B2*0.01/0.1, 0.2/0.1), 2) &amp; " mL infundido por 15 segundos. Pode ser repetido " &amp; ROUND(IF(B2*0.01&lt;=0.2, B2*0.01/0.1, 0.2/0.1), 2) &amp; " mL após 45 segundos e a cada minuto. Dose cumulativa maxima " &amp; ROUND(IF(B2*0.05&lt;=1, B2*0.05/0.1, 1/0.1), 2) &amp; " mL"</f>
        <v>Administrar 2 mL infundido por 15 segundos. Pode ser repetido 2 mL após 45 segundos e a cada minuto. Dose cumulativa maxima 10 mL</v>
      </c>
      <c r="C163" s="48"/>
      <c r="D163" s="48"/>
      <c r="E163" s="27"/>
    </row>
    <row r="164" spans="1:5" x14ac:dyDescent="0.2">
      <c r="A164" s="170" t="s">
        <v>187</v>
      </c>
      <c r="B164" s="60"/>
      <c r="C164" s="48"/>
      <c r="D164" s="48"/>
      <c r="E164" s="27"/>
    </row>
    <row r="165" spans="1:5" ht="41.25" x14ac:dyDescent="0.2">
      <c r="A165" s="86" t="s">
        <v>188</v>
      </c>
      <c r="B165" s="55" t="str">
        <f>"Diluir "&amp;ROUNDUP(IF((B2*0.13)&lt;=5,(B2*0.13)/0.125,5/0.125),0)&amp;" gotas + 3 mL de SF 0,9%, realizar nebulização por 20 minutos. Nos casos agudos e/ou de exacerbação do broncoespasmo, utilizar a solução (por nebulização) a cada 20 minutos até estabilização do quadro."</f>
        <v>Diluir 24 gotas + 3 mL de SF 0,9%, realizar nebulização por 20 minutos. Nos casos agudos e/ou de exacerbação do broncoespasmo, utilizar a solução (por nebulização) a cada 20 minutos até estabilização do quadro.</v>
      </c>
      <c r="C165" s="48"/>
      <c r="D165" s="48"/>
      <c r="E165" s="27"/>
    </row>
    <row r="166" spans="1:5" ht="41.25" x14ac:dyDescent="0.2">
      <c r="A166" s="110" t="s">
        <v>189</v>
      </c>
      <c r="B166" s="55" t="str">
        <f>"Administrar " &amp;IF(B1&lt;6,"Contraindicado", IF(AND(B1&gt;=6,B1&lt;=12),"2 puffs por via inalatória de 12/12 horas. Agite o frasco antes de usar. Inspire profundamente ao pressionar o frasco e segure a respiração. Enxague a boca após o uso.", "4 puffs por via inalatória de 12/12 horas. Agite o frasco antes de usar. Inspire profundamente ao pressionar o frasco e segure a respiração. Enxague a boca após o uso."))</f>
        <v>Administrar 2 puffs por via inalatória de 12/12 horas. Agite o frasco antes de usar. Inspire profundamente ao pressionar o frasco e segure a respiração. Enxague a boca após o uso.</v>
      </c>
      <c r="C166" s="48"/>
      <c r="D166" s="48"/>
      <c r="E166" s="27"/>
    </row>
    <row r="167" spans="1:5" ht="54.75" x14ac:dyDescent="0.2">
      <c r="A167" s="86" t="s">
        <v>190</v>
      </c>
      <c r="B167" s="55" t="str">
        <f>"Aplicar "&amp;ROUNDUP(MIN(B2/3,10),0)&amp;" jatos (puffs), por via inalatória, de 6/6 horas. "&amp;IF(B1&lt;4,"Com o uso de espaçador + máscara facial.","Sem necessidade de máscara facial.")&amp;" Observação: Nos casos agudos e/ou de exacerbação do broncoespasmo, repetir a dose inalatória a cada 20 minutos até estabilização do quadro."</f>
        <v>Aplicar 8 jatos (puffs), por via inalatória, de 6/6 horas. Sem necessidade de máscara facial. Observação: Nos casos agudos e/ou de exacerbação do broncoespasmo, repetir a dose inalatória a cada 20 minutos até estabilização do quadro.</v>
      </c>
      <c r="C167" s="142"/>
      <c r="D167" s="48"/>
      <c r="E167" s="27"/>
    </row>
    <row r="168" spans="1:5" ht="27.75" x14ac:dyDescent="0.2">
      <c r="A168" s="86" t="s">
        <v>191</v>
      </c>
      <c r="B168" s="55" t="str">
        <f>"Diluir " &amp; ROUND(IF(B2 / 2 &lt;= 10, B2 / 2, 10), 0) &amp; " gotas + 3 mL de SF 0,9% e realizar nebulização, inalando até a solução ser totalmente consumida."</f>
        <v>Diluir 10 gotas + 3 mL de SF 0,9% e realizar nebulização, inalando até a solução ser totalmente consumida.</v>
      </c>
      <c r="D168" s="25"/>
      <c r="E168" s="171"/>
    </row>
    <row r="169" spans="1:5" ht="54.75" x14ac:dyDescent="0.2">
      <c r="A169" s="86" t="s">
        <v>192</v>
      </c>
      <c r="B169" s="55" t="str">
        <f>"Diluir "&amp;ROUNDDOWN(MIN(B2,20),0)&amp;" gotas + 3 mL de SF 0,9% e realizar nebulização, inalando até a solução ser totalmente consumida, de 6/6 horas. Nos casos agudos e/ou de exacerbação do broncoespasmo, utilizar a solução (por nebulização) a cada 20 minutos até estabilização do quadro."</f>
        <v>Diluir 20 gotas + 3 mL de SF 0,9% e realizar nebulização, inalando até a solução ser totalmente consumida, de 6/6 horas. Nos casos agudos e/ou de exacerbação do broncoespasmo, utilizar a solução (por nebulização) a cada 20 minutos até estabilização do quadro.</v>
      </c>
      <c r="D169" s="25"/>
      <c r="E169" s="171"/>
    </row>
    <row r="170" spans="1:5" ht="27.75" x14ac:dyDescent="0.2">
      <c r="A170" s="140" t="s">
        <v>193</v>
      </c>
      <c r="B170" s="55" t="str">
        <f>IF(B1&gt;12,"Aerossol: Realizar 2 inalações de 12/12 horas; Disco: Realizar 1 inalação de 12/12 horas.",IF(B1&gt;4,"Aerossol: Realizar 2 inalações de 12/12 horas; Disco: Realizar 1 inalação de 12/12 horas.", "Idade inferior a 4 anos, uso não indicado."))</f>
        <v>Aerossol: Realizar 2 inalações de 12/12 horas; Disco: Realizar 1 inalação de 12/12 horas.</v>
      </c>
      <c r="D170" s="25"/>
      <c r="E170" s="171"/>
    </row>
    <row r="171" spans="1:5" ht="27.75" x14ac:dyDescent="0.2">
      <c r="A171" s="56" t="s">
        <v>194</v>
      </c>
      <c r="B171" s="139" t="str">
        <f>IF(B1&lt;0.5,"Contraindicado para pacientes abaixo de 6 meses de vida.", "Dar 1 sachê ao dia em jejum por 10 dias consecutivos. Fazer intervalo de 20 dias e retornar por mais 10 dias. Repetir o ciclo por 3 meses seguidos.")</f>
        <v>Dar 1 sachê ao dia em jejum por 10 dias consecutivos. Fazer intervalo de 20 dias e retornar por mais 10 dias. Repetir o ciclo por 3 meses seguidos.</v>
      </c>
      <c r="D171" s="25"/>
      <c r="E171" s="171"/>
    </row>
    <row r="172" spans="1:5" x14ac:dyDescent="0.2">
      <c r="A172" s="102" t="s">
        <v>195</v>
      </c>
      <c r="B172" s="60"/>
      <c r="D172" s="25"/>
      <c r="E172" s="171"/>
    </row>
    <row r="173" spans="1:5" x14ac:dyDescent="0.2">
      <c r="A173" s="57" t="s">
        <v>197</v>
      </c>
      <c r="B173" s="55" t="str">
        <f>"Tomar "&amp;ROUND(B2 * IF(B1&lt;5, 5, 10), 0) &amp; " mL SRO 0,9% de reidratação oral, tomar de 4 em 4 horas."</f>
        <v>Tomar 225 mL SRO 0,9% de reidratação oral, tomar de 4 em 4 horas.</v>
      </c>
      <c r="D173" s="25"/>
      <c r="E173" s="171"/>
    </row>
    <row r="174" spans="1:5" x14ac:dyDescent="0.2">
      <c r="A174" s="57" t="s">
        <v>198</v>
      </c>
      <c r="B174" s="55" t="str">
        <f>"Tomar "&amp;IF(B1&lt;6, ROUND(10 / (10 / 2.5), 2), ROUND(20 / (10 / 2.5), 2)) &amp; " mL de xarope de zinco, uma vez por dia. Por 7 dias."</f>
        <v>Tomar 5 mL de xarope de zinco, uma vez por dia. Por 7 dias.</v>
      </c>
      <c r="D174" s="25"/>
      <c r="E174" s="171"/>
    </row>
    <row r="175" spans="1:5" x14ac:dyDescent="0.2">
      <c r="A175" s="57" t="s">
        <v>199</v>
      </c>
      <c r="B175" s="55" t="str">
        <f>"Dar "&amp;IF(B1&gt;=5, "1 flaconete por via oral uma vez ao dia. Por 7 dias.", "1 flaconete por via oral uma vez ao dia. Por 7 dias.")</f>
        <v>Dar 1 flaconete por via oral uma vez ao dia. Por 7 dias.</v>
      </c>
      <c r="D175" s="25"/>
      <c r="E175" s="171"/>
    </row>
    <row r="176" spans="1:5" x14ac:dyDescent="0.2">
      <c r="A176" s="87" t="s">
        <v>196</v>
      </c>
      <c r="B176" s="55" t="str">
        <f>"Dar "&amp;IF(B1&gt;=5, "1 flaconete por via oral uma vez ao dia", "1 flaconete por via oral uma vez ao dia.")</f>
        <v>Dar 1 flaconete por via oral uma vez ao dia</v>
      </c>
      <c r="D176" s="25"/>
      <c r="E176" s="171"/>
    </row>
    <row r="177" spans="1:4" ht="27.75" x14ac:dyDescent="0.2">
      <c r="A177" s="57" t="s">
        <v>200</v>
      </c>
      <c r="B177" s="55" t="str">
        <f>IF(B1&gt;18, "100 mg Tomar 1 sachê de 100 mg por via oral de 8/8 horas. Por no máximo 7 dias.", IF(B2&lt;=25, "10 mg Tomar 1 sachê de 10 mg por via oral de 8/8 horas. Por no máximo 7 dias.", "30 mg Tomar 1 sachê de 30 mg por via oral de 8/8 horas. Por no máximo 7 dias."))</f>
        <v>10 mg Tomar 1 sachê de 10 mg por via oral de 8/8 horas. Por no máximo 7 dias.</v>
      </c>
      <c r="D177" s="25"/>
    </row>
    <row r="178" spans="1:4" x14ac:dyDescent="0.2">
      <c r="A178" s="102" t="s">
        <v>201</v>
      </c>
      <c r="B178" s="60"/>
      <c r="D178" s="25"/>
    </row>
    <row r="179" spans="1:4" ht="27.75" x14ac:dyDescent="0.2">
      <c r="A179" s="57" t="s">
        <v>202</v>
      </c>
      <c r="B179" s="55" t="str">
        <f>"Tomar "&amp;ROUNDDOWN(MIN(B2*0.5,60)/3,1)&amp;" mL por via oral de 8/8 horas. (Observação: 1 frasco contém 120 mL)."</f>
        <v>Tomar 3,7 mL por via oral de 8/8 horas. (Observação: 1 frasco contém 120 mL).</v>
      </c>
      <c r="D179" s="25"/>
    </row>
    <row r="180" spans="1:4" ht="45.75" customHeight="1" x14ac:dyDescent="0.2">
      <c r="A180" s="104" t="s">
        <v>203</v>
      </c>
      <c r="B180" s="55" t="str">
        <f>IF(B2&lt;11,"Contraindicado","Administrar "&amp;IF(B2&lt;=22,"33",IF(B2&lt;=43,"66","100"))&amp;" mL por via retal. Observação: Orientar a criança ou responsável para reter a solução por cerca de 2 a 5 minutos antes da evacuação.")</f>
        <v>Administrar 66 mL por via retal. Observação: Orientar a criança ou responsável para reter a solução por cerca de 2 a 5 minutos antes da evacuação.</v>
      </c>
      <c r="C180" s="27"/>
      <c r="D180" s="25"/>
    </row>
    <row r="181" spans="1:4" x14ac:dyDescent="0.2">
      <c r="A181" s="57" t="s">
        <v>204</v>
      </c>
      <c r="B181" s="55" t="str">
        <f>IF(B1&lt;2,"Contraindicado",IF(B1&lt;=5,"Tomar 5 a 15 mL por via oral, uma vez ao dia, preferencialmente à noite.",IF(B1&lt;=11,"Tomar 15 a 30 mL por via oral, uma vez ao dia, preferencialmente à noite.",IF(B1&gt;=12,"Tomar 30 a 60 mL por via oral, uma vez ao dia, preferencialmente à noite.", "Idade inválida"))))</f>
        <v>Tomar 15 a 30 mL por via oral, uma vez ao dia, preferencialmente à noite.</v>
      </c>
      <c r="C181" s="27"/>
      <c r="D181" s="25"/>
    </row>
    <row r="182" spans="1:4" ht="27.75" x14ac:dyDescent="0.2">
      <c r="A182" s="104" t="s">
        <v>205</v>
      </c>
      <c r="B182" s="55" t="str">
        <f>"Dissolver " &amp; ROUNDUP(IF(B2*1&gt;28,28,B2*1)/14,0) &amp; " sachê(s) com " &amp; ROUNDUP(IF(B2*1&gt;28,28,B2*1)/14,0)*100 &amp; " mL de água filtrada. Ingerir " &amp; ROUNDUP(IF(B2*1&gt;28,28,B2*1)/0.14,0) &amp; " mL da solução por via oral. Uma vez ao dia."</f>
        <v>Dissolver 2 sachê(s) com 200 mL de água filtrada. Ingerir 161 mL da solução por via oral. Uma vez ao dia.</v>
      </c>
      <c r="C182" s="27"/>
      <c r="D182" s="25"/>
    </row>
    <row r="183" spans="1:4" ht="41.25" x14ac:dyDescent="0.2">
      <c r="A183" s="57" t="s">
        <v>206</v>
      </c>
      <c r="B183" s="55" t="str">
        <f>IF(B2&lt;1,"Contraindicado para crianças menores de 1 ano.", "Tomar "&amp;ROUND(MIN(B2*0.5,22.5),1)&amp;" mL do óleo mineral puro por via oral de 12/12 horas. De preferência em jejum ou entre as refeições para melhores resultados. Observação: Evitar a ingestão noturna.")</f>
        <v>Tomar 11,3 mL do óleo mineral puro por via oral de 12/12 horas. De preferência em jejum ou entre as refeições para melhores resultados. Observação: Evitar a ingestão noturna.</v>
      </c>
      <c r="C183" s="27"/>
      <c r="D183" s="25"/>
    </row>
    <row r="184" spans="1:4" ht="27.75" x14ac:dyDescent="0.2">
      <c r="A184" s="57" t="s">
        <v>207</v>
      </c>
      <c r="B184" s="55" t="str">
        <f>IF(B1&lt;2,"Contraindicado", "Utilizar "&amp;MIN(B2*10,500)&amp;" mL por via retal. Orientar o paciente a reter a substância por 2 minutos ou até sentir a vontade de evacuar.")</f>
        <v>Utilizar 225 mL por via retal. Orientar o paciente a reter a substância por 2 minutos ou até sentir a vontade de evacuar.</v>
      </c>
      <c r="C184" s="27"/>
      <c r="D184" s="25"/>
    </row>
    <row r="185" spans="1:4" ht="27.75" x14ac:dyDescent="0.2">
      <c r="A185" s="57" t="s">
        <v>208</v>
      </c>
      <c r="B185" s="55" t="str">
        <f>IF(B1&lt;2,"Contraindicado", "Tomar "&amp;MIN(B2*1.4/2,40/2)&amp;" mL por via oral de 12/12 horas. Por 3 a 5 dias, ou até evacuar.")</f>
        <v>Tomar 15,75 mL por via oral de 12/12 horas. Por 3 a 5 dias, ou até evacuar.</v>
      </c>
      <c r="C185" s="27"/>
      <c r="D185" s="25"/>
    </row>
    <row r="186" spans="1:4" x14ac:dyDescent="0.2">
      <c r="A186" s="170" t="s">
        <v>209</v>
      </c>
      <c r="B186" s="60"/>
      <c r="C186" s="27"/>
      <c r="D186" s="25"/>
    </row>
    <row r="187" spans="1:4" ht="41.25" x14ac:dyDescent="0.2">
      <c r="A187" s="109" t="s">
        <v>210</v>
      </c>
      <c r="B187" s="55" t="str">
        <f>"Diluir "&amp;ROUNDDOWN(MIN(MIN(B2*10,1000)/50,20),1)&amp;" mL + "&amp;IF(ROUNDDOWN(MIN(MIN(B2*10,1000)/50,20),1)&lt;=5,"50","100")&amp;" mL de SF 0,9% ou SG 5%. Administrar de 8/8 horas. Infundir a "&amp;ROUNDDOWN((ROUNDDOWN(MIN(MIN(B2*10,1000)/50,20),1)+IF(ROUNDDOWN(MIN(MIN(B2*10,1000)/50,20),1)&lt;=5,50,100))/(50/60),2)&amp;" mL/hora por via EV. (Observação: A administração endovenosa deverá ser o mais lenta possível)."</f>
        <v>Diluir 4,5 mL + 50 mL de SF 0,9% ou SG 5%. Administrar de 8/8 horas. Infundir a 65,4 mL/hora por via EV. (Observação: A administração endovenosa deverá ser o mais lenta possível).</v>
      </c>
      <c r="C187" s="27"/>
      <c r="D187" s="25"/>
    </row>
    <row r="188" spans="1:4" x14ac:dyDescent="0.2">
      <c r="A188" s="170" t="s">
        <v>211</v>
      </c>
      <c r="B188" s="60"/>
      <c r="C188" s="27"/>
      <c r="D188" s="25"/>
    </row>
    <row r="189" spans="1:4" ht="27.75" x14ac:dyDescent="0.2">
      <c r="A189" s="57" t="s">
        <v>212</v>
      </c>
      <c r="B189" s="28" t="str">
        <f>IF(B1&lt;=6,"Crianças até 6 anos de idade: Tomar 6 gotas por via oral uma vez ao dia. Todos os dias.", "Crianças acima de 6 anos de idade: Tomar 12 gotas por via oral uma vez ao dia. Todos os dias.")</f>
        <v>Crianças acima de 6 anos de idade: Tomar 12 gotas por via oral uma vez ao dia. Todos os dias.</v>
      </c>
      <c r="C189" s="27"/>
      <c r="D189" s="25"/>
    </row>
    <row r="190" spans="1:4" ht="22.5" customHeight="1" x14ac:dyDescent="0.2">
      <c r="A190" s="110" t="s">
        <v>213</v>
      </c>
      <c r="B190" s="28" t="str">
        <f>"Tomar "&amp;ROUNDUP(MIN(B2*3/100*20,120/100*20),0)&amp;" gotas por via oral uma vez ao dia."</f>
        <v>Tomar 14 gotas por via oral uma vez ao dia.</v>
      </c>
      <c r="C190" s="27"/>
      <c r="D190" s="25"/>
    </row>
    <row r="191" spans="1:4" x14ac:dyDescent="0.2">
      <c r="A191" s="118" t="s">
        <v>214</v>
      </c>
      <c r="B191" s="60"/>
      <c r="C191" s="27"/>
      <c r="D191" s="25"/>
    </row>
    <row r="192" spans="1:4" x14ac:dyDescent="0.2">
      <c r="A192" s="104" t="s">
        <v>215</v>
      </c>
      <c r="B192" s="28" t="str">
        <f>IF(B2&lt;1,"Contraindicado","Tomar "&amp;TEXT((B2*7.5)/20,"0,0")&amp;" mL por via oral de 12/12 horas. Por 3 dias.")</f>
        <v>Tomar 8,4 mL por via oral de 12/12 horas. Por 3 dias.</v>
      </c>
      <c r="C192" s="27"/>
      <c r="D192" s="25"/>
    </row>
    <row r="193" spans="1:4" ht="27.75" x14ac:dyDescent="0.2">
      <c r="A193" s="57" t="s">
        <v>216</v>
      </c>
      <c r="B193" s="55" t="str">
        <f>IF(B1&lt;2,"Contraindicado.", "Tomar "&amp;ROUNDUP(400/40,0)&amp;" mL por via oral. Dose única ou a cada 24/24 horas. Por 3 a 5 dias.")</f>
        <v>Tomar 10 mL por via oral. Dose única ou a cada 24/24 horas. Por 3 a 5 dias.</v>
      </c>
      <c r="C193" s="27"/>
      <c r="D193" s="25"/>
    </row>
    <row r="194" spans="1:4" x14ac:dyDescent="0.2">
      <c r="A194" s="104" t="s">
        <v>217</v>
      </c>
      <c r="B194" s="55" t="str">
        <f>"Tomar "&amp;IF(B2&lt;=24, "½ cp por via oral. Dose única", IF(B2&lt;=35, "1 cp por via oral. Dose única", IF(B2&lt;=50, "1½ cp por via oral. Dose única", IF(B2&lt;=65, "2 cp por via oral. Dose única", IF(B2&lt;=79, "2½ cp por via oral. Dose única", "3 cp por via oral. Dose única")))))</f>
        <v>Tomar ½ cp por via oral. Dose única</v>
      </c>
      <c r="C194" s="27"/>
      <c r="D194" s="25"/>
    </row>
    <row r="195" spans="1:4" x14ac:dyDescent="0.2">
      <c r="A195" s="119" t="s">
        <v>218</v>
      </c>
      <c r="B195" s="141" t="str">
        <f>IF(B2&lt;1,"Contraindicado",IF(B2&lt;2," ", "Tomar 5 mL por via oral de 12/12 horas. Por 3 dias."))</f>
        <v>Tomar 5 mL por via oral de 12/12 horas. Por 3 dias.</v>
      </c>
      <c r="C195" s="147" t="s">
        <v>219</v>
      </c>
      <c r="D195" s="25"/>
    </row>
    <row r="196" spans="1:4" ht="33" customHeight="1" x14ac:dyDescent="0.2">
      <c r="A196" s="57" t="s">
        <v>220</v>
      </c>
      <c r="B196" s="141" t="str">
        <f>IF(B2&lt;10,"Não recomendado", "Tomar "&amp;MIN(B2*1,60)&amp;" mL por via oral em dose única diária. Recomenda-se a repetição da dose cerca de 2 semanas após a primeira administração.")</f>
        <v>Tomar 22,5 mL por via oral em dose única diária. Recomenda-se a repetição da dose cerca de 2 semanas após a primeira administração.</v>
      </c>
      <c r="C196" s="147" t="s">
        <v>221</v>
      </c>
      <c r="D196" s="33"/>
    </row>
    <row r="197" spans="1:4" ht="27.75" x14ac:dyDescent="0.2">
      <c r="A197" s="57" t="s">
        <v>222</v>
      </c>
      <c r="B197" s="28" t="str">
        <f>"Tomar "&amp;ROUNDUP(MIN(B2*30/30,2000/30),2)&amp;" mL por via oral uma vez ao dia, preferencialmente à noite, após o jantar. Em dose única ou Por 5 a 7 dias."</f>
        <v>Tomar 22,5 mL por via oral uma vez ao dia, preferencialmente à noite, após o jantar. Em dose única ou Por 5 a 7 dias.</v>
      </c>
      <c r="C197" s="27"/>
      <c r="D197" s="25"/>
    </row>
    <row r="198" spans="1:4" x14ac:dyDescent="0.2">
      <c r="A198" s="120" t="s">
        <v>223</v>
      </c>
      <c r="B198" s="60"/>
      <c r="C198" s="27"/>
      <c r="D198" s="25"/>
    </row>
    <row r="199" spans="1:4" ht="27.75" x14ac:dyDescent="0.2">
      <c r="A199" s="57" t="s">
        <v>224</v>
      </c>
      <c r="B199" s="55" t="str">
        <f>"Utilizar "&amp;ROUNDDOWN(MIN(B2*0.5,3),2)&amp;" mL de adrenalina 1 mg/mL diluída em 3 mL de SF 0,9% por nebulização. Pode ser repetido a cada 20 minutos até 3 vezes em 1 hora."</f>
        <v>Utilizar 3 mL de adrenalina 1 mg/mL diluída em 3 mL de SF 0,9% por nebulização. Pode ser repetido a cada 20 minutos até 3 vezes em 1 hora.</v>
      </c>
      <c r="C199" s="27"/>
      <c r="D199" s="25"/>
    </row>
    <row r="200" spans="1:4" x14ac:dyDescent="0.2">
      <c r="A200" s="84" t="s">
        <v>225</v>
      </c>
      <c r="B200" s="55" t="str">
        <f>"Utilizar "&amp;IF(B1&lt;18,"3 a 5 mL de água destilada pura","3 a 5 mL de água destilada pura ou conforme orientação médica")&amp;" por nebulização."</f>
        <v>Utilizar 3 a 5 mL de água destilada pura por nebulização.</v>
      </c>
      <c r="C200" s="27"/>
      <c r="D200" s="25"/>
    </row>
    <row r="201" spans="1:4" ht="27.75" x14ac:dyDescent="0.2">
      <c r="A201" s="84" t="s">
        <v>226</v>
      </c>
      <c r="B201" s="55" t="str">
        <f>IF(B1&lt;1,"Utilizar 1 a 2 mL de NaCl 20% diluído em 1 a 2 mL de SF 0,9%. Nebulização de 8/8 horas. Pode repetir de 20/20 minutos até 3 vezes em 1 hora.",
IF(B1&lt;18,"Utilizar 3 mL de NaCl 20% puro ou diluído em SF 0,9%. Nebulização de 8/8 horas. Pode repetir de 20/20 minutos até 3 vezes em 1 hora.",
"Utilizar 3 a 5 mL de NaCl 20% puro ou diluído em SF 0,9%. Nebulização de 8/8 horas. Pode repetir de 20/20 minutos até 3 vezes em 1 hora."))</f>
        <v>Utilizar 3 mL de NaCl 20% puro ou diluído em SF 0,9%. Nebulização de 8/8 horas. Pode repetir de 20/20 minutos até 3 vezes em 1 hora.</v>
      </c>
      <c r="C201" s="27"/>
      <c r="D201" s="25"/>
    </row>
    <row r="202" spans="1:4" x14ac:dyDescent="0.2">
      <c r="A202" s="118" t="s">
        <v>227</v>
      </c>
      <c r="B202" s="60"/>
      <c r="C202" s="65" t="s">
        <v>228</v>
      </c>
      <c r="D202" s="25"/>
    </row>
    <row r="203" spans="1:4" x14ac:dyDescent="0.2">
      <c r="A203" s="57" t="s">
        <v>229</v>
      </c>
      <c r="B203" s="43" t="str">
        <f>"Tomar "&amp;ROUNDUP(MIN(B2*1/5*5,30/5),1)&amp;" mL por via oral de 8/8 horas. Por 5 a 7 dias."</f>
        <v>Tomar 6 mL por via oral de 8/8 horas. Por 5 a 7 dias.</v>
      </c>
      <c r="C203" s="148" t="s">
        <v>230</v>
      </c>
      <c r="D203" s="25"/>
    </row>
    <row r="204" spans="1:4" x14ac:dyDescent="0.2">
      <c r="A204" s="57" t="s">
        <v>231</v>
      </c>
      <c r="B204" s="43" t="str">
        <f>IF(B1&lt;2,"Contraindicado para crianças menores de 2 anos.",
IF(AND(B1&gt;=2,B1&lt;=5),"Tomar 1 mL por via oral de 8/8 horas. Por 7 a 14 dias.",
IF(AND(B1&gt;=6,B1&lt;=12),"Tomar 2 mL por via oral de 8/8 horas. Por 7 a 14 dias.",
"Verificar faixa de idade adequada.")))</f>
        <v>Tomar 2 mL por via oral de 8/8 horas. Por 7 a 14 dias.</v>
      </c>
      <c r="C204" s="148" t="s">
        <v>232</v>
      </c>
      <c r="D204" s="25"/>
    </row>
    <row r="205" spans="1:4" x14ac:dyDescent="0.2">
      <c r="A205" s="149" t="s">
        <v>233</v>
      </c>
      <c r="B205" s="43" t="str">
        <f>"Tomar "&amp;ROUNDUP(MIN(B2*2/30*5,IF(B2&lt;=30,60/30*5,180/30*5)),1)&amp;" mL por via oral de 8/8 horas. Por 5 a 7 dias."</f>
        <v>Tomar 7,5 mL por via oral de 8/8 horas. Por 5 a 7 dias.</v>
      </c>
      <c r="C205" s="148" t="s">
        <v>234</v>
      </c>
      <c r="D205" s="25"/>
    </row>
    <row r="206" spans="1:4" x14ac:dyDescent="0.2">
      <c r="A206" s="150" t="s">
        <v>235</v>
      </c>
      <c r="B206" s="43" t="str">
        <f>"Tomar "&amp;ROUNDUP(MIN(B2*20/20/3,IF(B1&lt;=5,200/20/3,300/20/3)),1)&amp;" mL por via oral de 8/8 horas por 5 a 10 dias."</f>
        <v>Tomar 5 mL por via oral de 8/8 horas por 5 a 10 dias.</v>
      </c>
      <c r="C206" s="148" t="s">
        <v>230</v>
      </c>
      <c r="D206" s="25"/>
    </row>
    <row r="207" spans="1:4" x14ac:dyDescent="0.2">
      <c r="A207" s="121" t="s">
        <v>236</v>
      </c>
      <c r="B207" s="99"/>
      <c r="C207" s="151" t="s">
        <v>228</v>
      </c>
      <c r="D207" s="25"/>
    </row>
    <row r="208" spans="1:4" ht="27.75" x14ac:dyDescent="0.2">
      <c r="A208" s="122" t="s">
        <v>237</v>
      </c>
      <c r="B208" s="43" t="str">
        <f>"Pingar 1 gota no(s) olho(s) afetado(s) de 4/4 horas. Ate melhora do quadro."</f>
        <v>Pingar 1 gota no(s) olho(s) afetado(s) de 4/4 horas. Ate melhora do quadro.</v>
      </c>
      <c r="C208" s="103" t="s">
        <v>238</v>
      </c>
      <c r="D208" s="25"/>
    </row>
    <row r="209" spans="1:4" x14ac:dyDescent="0.2">
      <c r="A209" s="122" t="s">
        <v>239</v>
      </c>
      <c r="B209" s="43" t="str">
        <f>"Pingar 1 gota no(s) olho(s) afetado(s) uma vez ao dia. Por 6 semanas."</f>
        <v>Pingar 1 gota no(s) olho(s) afetado(s) uma vez ao dia. Por 6 semanas.</v>
      </c>
      <c r="C209" s="103" t="s">
        <v>240</v>
      </c>
      <c r="D209" s="25"/>
    </row>
    <row r="210" spans="1:4" ht="27.75" x14ac:dyDescent="0.2">
      <c r="A210" s="122" t="s">
        <v>241</v>
      </c>
      <c r="B210" s="43" t="str">
        <f>"Pingar 1 gota no(s) olho(s) afetado(s) de 4/4 horas. Ate melhora do quadro."</f>
        <v>Pingar 1 gota no(s) olho(s) afetado(s) de 4/4 horas. Ate melhora do quadro.</v>
      </c>
      <c r="C210" s="103" t="s">
        <v>242</v>
      </c>
      <c r="D210" s="25"/>
    </row>
    <row r="211" spans="1:4" x14ac:dyDescent="0.2">
      <c r="A211" s="123" t="s">
        <v>243</v>
      </c>
      <c r="B211" s="43" t="str">
        <f>"Pingar 1 gota no(s) olho(s) afetado(s) de 4/4 horas. Por 5 dias."</f>
        <v>Pingar 1 gota no(s) olho(s) afetado(s) de 4/4 horas. Por 5 dias.</v>
      </c>
      <c r="C211" s="103" t="s">
        <v>244</v>
      </c>
      <c r="D211" s="25"/>
    </row>
    <row r="212" spans="1:4" ht="27.75" x14ac:dyDescent="0.2">
      <c r="A212" s="122" t="s">
        <v>245</v>
      </c>
      <c r="B212" s="43" t="str">
        <f>"Aplicar 1 CM da pomada, uma fina camada na região do olho afetada de 8/8 horas. Por 5 dias."</f>
        <v>Aplicar 1 CM da pomada, uma fina camada na região do olho afetada de 8/8 horas. Por 5 dias.</v>
      </c>
      <c r="C212" s="103" t="s">
        <v>244</v>
      </c>
      <c r="D212" s="25"/>
    </row>
    <row r="213" spans="1:4" x14ac:dyDescent="0.2">
      <c r="A213" s="122" t="s">
        <v>246</v>
      </c>
      <c r="B213" s="43" t="str">
        <f>"Pingar 1 gota no(s) olho(s) afetado(s) de 8/8 horas. Por 7 dias."</f>
        <v>Pingar 1 gota no(s) olho(s) afetado(s) de 8/8 horas. Por 7 dias.</v>
      </c>
      <c r="C213" s="103" t="s">
        <v>247</v>
      </c>
      <c r="D213" s="25"/>
    </row>
    <row r="214" spans="1:4" ht="27.75" x14ac:dyDescent="0.2">
      <c r="A214" s="122" t="s">
        <v>248</v>
      </c>
      <c r="B214" s="43" t="str">
        <f>"Pingar 1 gota(s) de 2/2 horas no olho acometido. Durante os primeiros 2 dias de tratamento. Seguido de 1 gota de 4/4 horas. Nos 5 dias seguintes."</f>
        <v>Pingar 1 gota(s) de 2/2 horas no olho acometido. Durante os primeiros 2 dias de tratamento. Seguido de 1 gota de 4/4 horas. Nos 5 dias seguintes.</v>
      </c>
      <c r="C214" s="148" t="s">
        <v>249</v>
      </c>
      <c r="D214" s="25"/>
    </row>
    <row r="215" spans="1:4" x14ac:dyDescent="0.2">
      <c r="A215" s="118" t="s">
        <v>250</v>
      </c>
      <c r="B215" s="99"/>
      <c r="C215" s="27"/>
      <c r="D215" s="25"/>
    </row>
    <row r="216" spans="1:4" ht="27.75" x14ac:dyDescent="0.2">
      <c r="A216" s="104" t="s">
        <v>251</v>
      </c>
      <c r="B216" s="55" t="str">
        <f>"Pingar 3 gotas de 8/8 horas no(s) ouvido(s) comprometido(s). Por 7 a 10 dias"</f>
        <v>Pingar 3 gotas de 8/8 horas no(s) ouvido(s) comprometido(s). Por 7 a 10 dias</v>
      </c>
      <c r="C216" s="27"/>
      <c r="D216" s="25"/>
    </row>
    <row r="217" spans="1:4" ht="27.75" x14ac:dyDescent="0.2">
      <c r="A217" s="104" t="s">
        <v>252</v>
      </c>
      <c r="B217" s="55" t="str">
        <f>"Pingar 3 gotas de 8/8 horas no(s) ouvido(s) comprometido(s). Por 7 a 10 dias"</f>
        <v>Pingar 3 gotas de 8/8 horas no(s) ouvido(s) comprometido(s). Por 7 a 10 dias</v>
      </c>
      <c r="D217" s="25"/>
    </row>
    <row r="218" spans="1:4" ht="27.75" x14ac:dyDescent="0.2">
      <c r="A218" s="104" t="s">
        <v>253</v>
      </c>
      <c r="B218" s="55" t="str">
        <f>"Pingar 3 gotas de 8/8 horas no(s) ouvido(s) comprometido(s). Por 7 a 10 dias"</f>
        <v>Pingar 3 gotas de 8/8 horas no(s) ouvido(s) comprometido(s). Por 7 a 10 dias</v>
      </c>
      <c r="C218" s="27"/>
      <c r="D218" s="25"/>
    </row>
    <row r="219" spans="1:4" ht="27.75" x14ac:dyDescent="0.2">
      <c r="A219" s="104" t="s">
        <v>254</v>
      </c>
      <c r="B219" s="55" t="str">
        <f>"Pingar 2 gotas de 8/8 horas no(s) ouvido(s) comprometido(s). Por 7 a 10 dias"</f>
        <v>Pingar 2 gotas de 8/8 horas no(s) ouvido(s) comprometido(s). Por 7 a 10 dias</v>
      </c>
      <c r="C219" s="27"/>
      <c r="D219" s="25"/>
    </row>
    <row r="220" spans="1:4" ht="27.75" x14ac:dyDescent="0.2">
      <c r="A220" s="104" t="s">
        <v>255</v>
      </c>
      <c r="B220" s="55" t="str">
        <f>"Pingar 4 gotas de 8/8 horas no(s) ouvido(s) comprometido(s). Até o desaparecimento da dor e da infecção."</f>
        <v>Pingar 4 gotas de 8/8 horas no(s) ouvido(s) comprometido(s). Até o desaparecimento da dor e da infecção.</v>
      </c>
      <c r="C220" s="132"/>
      <c r="D220" s="25"/>
    </row>
    <row r="221" spans="1:4" ht="27.75" x14ac:dyDescent="0.2">
      <c r="A221" s="124" t="s">
        <v>256</v>
      </c>
      <c r="B221" s="55" t="str">
        <f>"Pingar 2 gotas de 8/8 horas no(s) ouvido(s) comprometido(s). Por 7 a 10 dias"</f>
        <v>Pingar 2 gotas de 8/8 horas no(s) ouvido(s) comprometido(s). Por 7 a 10 dias</v>
      </c>
      <c r="C221" s="27"/>
      <c r="D221" s="25"/>
    </row>
    <row r="222" spans="1:4" x14ac:dyDescent="0.2">
      <c r="A222" s="104" t="s">
        <v>257</v>
      </c>
      <c r="B222" s="55" t="str">
        <f>"Pingar 3 gotas de 8/8 horas no(s) ouvido(s) comprometido(s). Por 21 dias"</f>
        <v>Pingar 3 gotas de 8/8 horas no(s) ouvido(s) comprometido(s). Por 21 dias</v>
      </c>
      <c r="C222" s="152"/>
      <c r="D222" s="25"/>
    </row>
    <row r="223" spans="1:4" x14ac:dyDescent="0.2">
      <c r="A223" s="118" t="s">
        <v>258</v>
      </c>
      <c r="B223" s="99"/>
      <c r="C223" s="27"/>
      <c r="D223" s="25"/>
    </row>
    <row r="224" spans="1:4" x14ac:dyDescent="0.2">
      <c r="A224" s="104" t="s">
        <v>259</v>
      </c>
      <c r="B224" s="55" t="str">
        <f>"Administrar 2 jatos em região nasal de 12/12 horas."</f>
        <v>Administrar 2 jatos em região nasal de 12/12 horas.</v>
      </c>
      <c r="C224" s="27"/>
      <c r="D224" s="25"/>
    </row>
    <row r="225" spans="1:4" x14ac:dyDescent="0.2">
      <c r="A225" s="104" t="s">
        <v>260</v>
      </c>
      <c r="B225" s="55" t="str">
        <f>"Administrar 2 jatos em região nasal de 12/12 horas."</f>
        <v>Administrar 2 jatos em região nasal de 12/12 horas.</v>
      </c>
      <c r="C225" s="27"/>
      <c r="D225" s="25"/>
    </row>
    <row r="226" spans="1:4" x14ac:dyDescent="0.2">
      <c r="A226" s="104" t="s">
        <v>261</v>
      </c>
      <c r="B226" s="55" t="str">
        <f>"Administrar 2 jatos em região nasal de 12/12 horas."</f>
        <v>Administrar 2 jatos em região nasal de 12/12 horas.</v>
      </c>
      <c r="C226" s="27"/>
      <c r="D226" s="25"/>
    </row>
    <row r="227" spans="1:4" x14ac:dyDescent="0.2">
      <c r="A227" s="104" t="s">
        <v>262</v>
      </c>
      <c r="B227" s="55" t="str">
        <f>"Administrar 4 jatos em região nasal de 6/6 horas. Por 5 dias."</f>
        <v>Administrar 4 jatos em região nasal de 6/6 horas. Por 5 dias.</v>
      </c>
      <c r="C227" s="27"/>
      <c r="D227" s="25"/>
    </row>
    <row r="228" spans="1:4" x14ac:dyDescent="0.2">
      <c r="A228" s="119" t="s">
        <v>263</v>
      </c>
      <c r="B228" s="55" t="str">
        <f>"Administrar 2 jatos em região nasal de 12/12 horas."</f>
        <v>Administrar 2 jatos em região nasal de 12/12 horas.</v>
      </c>
      <c r="C228" s="27"/>
      <c r="D228" s="25"/>
    </row>
    <row r="229" spans="1:4" x14ac:dyDescent="0.2">
      <c r="A229" s="170" t="s">
        <v>264</v>
      </c>
      <c r="B229" s="99"/>
      <c r="C229" s="65" t="s">
        <v>228</v>
      </c>
      <c r="D229" s="25"/>
    </row>
    <row r="230" spans="1:4" ht="41.25" x14ac:dyDescent="0.2">
      <c r="A230" s="57" t="s">
        <v>265</v>
      </c>
      <c r="B230" s="28" t="str">
        <f>"Aplicar nas lesões e dentro das narinas de 6/6 horas por 10 dias. Manter as unhas curtas e limpas. Realizar a limpeza das lesões com água e sabão antes da aplicação da pomada."</f>
        <v>Aplicar nas lesões e dentro das narinas de 6/6 horas por 10 dias. Manter as unhas curtas e limpas. Realizar a limpeza das lesões com água e sabão antes da aplicação da pomada.</v>
      </c>
      <c r="C230" s="133" t="s">
        <v>266</v>
      </c>
      <c r="D230" s="25"/>
    </row>
    <row r="231" spans="1:4" ht="27.75" x14ac:dyDescent="0.2">
      <c r="A231" s="57" t="s">
        <v>267</v>
      </c>
      <c r="B231" s="28" t="s">
        <v>268</v>
      </c>
      <c r="C231" s="133" t="s">
        <v>269</v>
      </c>
      <c r="D231" s="25"/>
    </row>
    <row r="232" spans="1:4" ht="41.25" x14ac:dyDescent="0.2">
      <c r="A232" s="57" t="s">
        <v>270</v>
      </c>
      <c r="B232" s="28" t="str">
        <f>"Aplicar uma fina camada no local afetado de 12/12 horas por 10 dias. Indicado para dermatites: de contato, atópica, seborreica, intertrigo, desidrose e neurodermatite."</f>
        <v>Aplicar uma fina camada no local afetado de 12/12 horas por 10 dias. Indicado para dermatites: de contato, atópica, seborreica, intertrigo, desidrose e neurodermatite.</v>
      </c>
      <c r="C232" s="148" t="s">
        <v>271</v>
      </c>
      <c r="D232" s="25"/>
    </row>
    <row r="233" spans="1:4" x14ac:dyDescent="0.2">
      <c r="A233" s="57" t="s">
        <v>272</v>
      </c>
      <c r="B233" s="28" t="str">
        <f>"Aplicar uma fina camada no local afetado de 12/12 horas por 10 dias."</f>
        <v>Aplicar uma fina camada no local afetado de 12/12 horas por 10 dias.</v>
      </c>
      <c r="C233" s="148" t="s">
        <v>273</v>
      </c>
      <c r="D233" s="25"/>
    </row>
    <row r="234" spans="1:4" ht="27.75" x14ac:dyDescent="0.2">
      <c r="A234" s="57" t="s">
        <v>274</v>
      </c>
      <c r="B234" s="28" t="str">
        <f>"Aplicar uma camada no local afetado de 12/12 horas por 10 dias como tratamento."</f>
        <v>Aplicar uma camada no local afetado de 12/12 horas por 10 dias como tratamento.</v>
      </c>
      <c r="C234" s="148" t="s">
        <v>275</v>
      </c>
      <c r="D234" s="25"/>
    </row>
    <row r="235" spans="1:4" x14ac:dyDescent="0.2">
      <c r="A235" s="57" t="s">
        <v>276</v>
      </c>
      <c r="B235" s="28" t="str">
        <f>"Aplicar na região do prepúcio de 12/12 horas por 3 semanas."</f>
        <v>Aplicar na região do prepúcio de 12/12 horas por 3 semanas.</v>
      </c>
      <c r="C235" s="148" t="s">
        <v>277</v>
      </c>
      <c r="D235" s="25"/>
    </row>
    <row r="236" spans="1:4" ht="27.75" x14ac:dyDescent="0.2">
      <c r="A236" s="57" t="s">
        <v>278</v>
      </c>
      <c r="B236" s="28" t="str">
        <f>"Aplicar uma fina camada no local afetado de 12/12 horas por 10 dias."</f>
        <v>Aplicar uma fina camada no local afetado de 12/12 horas por 10 dias.</v>
      </c>
      <c r="C236" s="148" t="s">
        <v>279</v>
      </c>
      <c r="D236" s="25"/>
    </row>
    <row r="237" spans="1:4" ht="27.75" x14ac:dyDescent="0.2">
      <c r="A237" s="57" t="s">
        <v>280</v>
      </c>
      <c r="B237" s="28" t="str">
        <f>"Aplicar nas lesões, 2 vezes ao dia, até melhorar. (Não passar no rosto). Manter as unhas curtas e limpas."</f>
        <v>Aplicar nas lesões, 2 vezes ao dia, até melhorar. (Não passar no rosto). Manter as unhas curtas e limpas.</v>
      </c>
      <c r="C237" s="148" t="s">
        <v>281</v>
      </c>
      <c r="D237" s="25"/>
    </row>
    <row r="238" spans="1:4" x14ac:dyDescent="0.2">
      <c r="A238" s="57" t="s">
        <v>282</v>
      </c>
      <c r="B238" s="28" t="str">
        <f>"Passar na(s) assadura(s) de 8/8 horas por 5 dias."</f>
        <v>Passar na(s) assadura(s) de 8/8 horas por 5 dias.</v>
      </c>
      <c r="C238" s="148" t="s">
        <v>283</v>
      </c>
      <c r="D238" s="25"/>
    </row>
    <row r="239" spans="1:4" ht="27.75" x14ac:dyDescent="0.2">
      <c r="A239" s="57" t="s">
        <v>284</v>
      </c>
      <c r="B239" s="28" t="str">
        <f>"Passar na(s) assadura(s) a cada troca de fraldas ou de 6/6 horas por 14 dias."</f>
        <v>Passar na(s) assadura(s) a cada troca de fraldas ou de 6/6 horas por 14 dias.</v>
      </c>
      <c r="C239" s="148" t="s">
        <v>285</v>
      </c>
      <c r="D239" s="25"/>
    </row>
    <row r="240" spans="1:4" ht="41.25" x14ac:dyDescent="0.2">
      <c r="A240" s="57" t="s">
        <v>286</v>
      </c>
      <c r="B240" s="28" t="str">
        <f>"Aplicar e friccionar levemente. Manter a espuma sem enxaguar por 10 minutos. Depois enxaguar bem. Repetir por 4 dias consecutivos. Fazer intervalo de 7 dias e repetir por mais 4 dias."</f>
        <v>Aplicar e friccionar levemente. Manter a espuma sem enxaguar por 10 minutos. Depois enxaguar bem. Repetir por 4 dias consecutivos. Fazer intervalo de 7 dias e repetir por mais 4 dias.</v>
      </c>
      <c r="C240" s="148" t="s">
        <v>287</v>
      </c>
      <c r="D240" s="25"/>
    </row>
    <row r="241" spans="1:4" ht="27.75" x14ac:dyDescent="0.2">
      <c r="A241" s="57" t="s">
        <v>265</v>
      </c>
      <c r="B241" s="28" t="str">
        <f>"Aplicar dentro das narinas com um cotonete de 6/6 horas por 5 dias. Retorno com otorrino em 1 semana para reavaliação."</f>
        <v>Aplicar dentro das narinas com um cotonete de 6/6 horas por 5 dias. Retorno com otorrino em 1 semana para reavaliação.</v>
      </c>
      <c r="C241" s="148" t="s">
        <v>288</v>
      </c>
      <c r="D241" s="25"/>
    </row>
    <row r="242" spans="1:4" ht="41.25" x14ac:dyDescent="0.2">
      <c r="A242" s="57" t="s">
        <v>289</v>
      </c>
      <c r="B242" s="28" t="str">
        <f>"Aplicar e friccionar nas áreas afetadas após o banho e deixar até o próximo banho. Repetir por 4 dias consecutivos. Fazer intervalo de 7 dias e repetir por mais 4 dias."</f>
        <v>Aplicar e friccionar nas áreas afetadas após o banho e deixar até o próximo banho. Repetir por 4 dias consecutivos. Fazer intervalo de 7 dias e repetir por mais 4 dias.</v>
      </c>
      <c r="C242" s="148" t="s">
        <v>290</v>
      </c>
      <c r="D242" s="25"/>
    </row>
    <row r="243" spans="1:4" ht="41.25" x14ac:dyDescent="0.2">
      <c r="A243" s="57" t="s">
        <v>291</v>
      </c>
      <c r="B243" s="28" t="str">
        <f>"Aplicar e friccionar levemente abaixo do pescoço. Retirar no próximo dia. Para menores de 1 mês, retirar em menos de 6 horas. Repetir o tratamento entre 5 a 7 dias."</f>
        <v>Aplicar e friccionar levemente abaixo do pescoço. Retirar no próximo dia. Para menores de 1 mês, retirar em menos de 6 horas. Repetir o tratamento entre 5 a 7 dias.</v>
      </c>
      <c r="C243" s="133" t="s">
        <v>292</v>
      </c>
      <c r="D243" s="25"/>
    </row>
    <row r="244" spans="1:4" x14ac:dyDescent="0.2">
      <c r="A244" s="57" t="s">
        <v>293</v>
      </c>
      <c r="B244" s="28" t="str">
        <f>"Aplicar creme tópico na região acometida de 4/4 horas por 4 dias."</f>
        <v>Aplicar creme tópico na região acometida de 4/4 horas por 4 dias.</v>
      </c>
      <c r="C244" s="133" t="s">
        <v>294</v>
      </c>
      <c r="D244" s="25"/>
    </row>
    <row r="245" spans="1:4" x14ac:dyDescent="0.2">
      <c r="A245" s="57" t="s">
        <v>295</v>
      </c>
      <c r="B245" s="28" t="str">
        <f>"Aplicar uma camada fina sobre a pele lesionada de 8/8 horas por 7 dias."</f>
        <v>Aplicar uma camada fina sobre a pele lesionada de 8/8 horas por 7 dias.</v>
      </c>
      <c r="C245" s="133" t="s">
        <v>296</v>
      </c>
      <c r="D245" s="25"/>
    </row>
    <row r="246" spans="1:4" x14ac:dyDescent="0.2">
      <c r="A246" s="111" t="s">
        <v>297</v>
      </c>
      <c r="B246" s="28" t="str">
        <f>"Aplicar na área afetada até de 8/8 horas por no máximo 10 dias."</f>
        <v>Aplicar na área afetada até de 8/8 horas por no máximo 10 dias.</v>
      </c>
      <c r="C246" s="133" t="s">
        <v>296</v>
      </c>
      <c r="D246" s="25"/>
    </row>
    <row r="247" spans="1:4" x14ac:dyDescent="0.2">
      <c r="A247" s="57" t="s">
        <v>298</v>
      </c>
      <c r="B247" s="28" t="str">
        <f>"Aplicar uma pequena quantidade do creme no local afetado, de 8/8 horas."</f>
        <v>Aplicar uma pequena quantidade do creme no local afetado, de 8/8 horas.</v>
      </c>
      <c r="C247" s="133" t="s">
        <v>299</v>
      </c>
      <c r="D247" s="25"/>
    </row>
    <row r="248" spans="1:4" ht="27.75" x14ac:dyDescent="0.2">
      <c r="A248" s="57" t="s">
        <v>300</v>
      </c>
      <c r="B248" s="28" t="str">
        <f>"Aplicar uma fina camada de modo a cobrir toda a área afetada uma vez ao dia."</f>
        <v>Aplicar uma fina camada de modo a cobrir toda a área afetada uma vez ao dia.</v>
      </c>
      <c r="C248" s="133" t="s">
        <v>299</v>
      </c>
      <c r="D248" s="25"/>
    </row>
    <row r="249" spans="1:4" ht="41.25" x14ac:dyDescent="0.2">
      <c r="A249" s="57" t="s">
        <v>301</v>
      </c>
      <c r="B249" s="43" t="str">
        <f>"Dissolver o conteúdo de 1 a 2 envelope(s) do pó para preparação extemporânea ou 10 a 20 mL da solução ginecológica em 1 L de água e usar em lavagens vaginais de 12/12 horas."</f>
        <v>Dissolver o conteúdo de 1 a 2 envelope(s) do pó para preparação extemporânea ou 10 a 20 mL da solução ginecológica em 1 L de água e usar em lavagens vaginais de 12/12 horas.</v>
      </c>
      <c r="C249" s="133" t="s">
        <v>302</v>
      </c>
      <c r="D249" s="25"/>
    </row>
    <row r="250" spans="1:4" ht="41.25" x14ac:dyDescent="0.2">
      <c r="A250" s="57" t="s">
        <v>303</v>
      </c>
      <c r="B250" s="28" t="str">
        <f>"Aplicar 2 a 3 nebulizações de 4/4 horas. As nebulizações devem ser aplicadas na cavidade bucal, direcionando o aplicador para a orofaringe (fundo da garganta)."</f>
        <v>Aplicar 2 a 3 nebulizações de 4/4 horas. As nebulizações devem ser aplicadas na cavidade bucal, direcionando o aplicador para a orofaringe (fundo da garganta).</v>
      </c>
      <c r="C250" s="133" t="s">
        <v>304</v>
      </c>
      <c r="D250" s="25"/>
    </row>
    <row r="251" spans="1:4" x14ac:dyDescent="0.2">
      <c r="A251" s="54" t="s">
        <v>305</v>
      </c>
      <c r="B251" s="28" t="str">
        <f>"Aplicar 1 jato na garganta 20 minutos antes das principais refeições."</f>
        <v>Aplicar 1 jato na garganta 20 minutos antes das principais refeições.</v>
      </c>
      <c r="C251" s="133"/>
      <c r="D251" s="25"/>
    </row>
    <row r="252" spans="1:4" ht="27.75" x14ac:dyDescent="0.2">
      <c r="A252" s="57" t="s">
        <v>306</v>
      </c>
      <c r="B252" s="153" t="str">
        <f>"Diluir o comprimido no momento do uso, em 1 a 4 litros de água, e usar na forma de compressas ou no banho."</f>
        <v>Diluir o comprimido no momento do uso, em 1 a 4 litros de água, e usar na forma de compressas ou no banho.</v>
      </c>
      <c r="C252" s="133" t="s">
        <v>307</v>
      </c>
      <c r="D252" s="25"/>
    </row>
    <row r="253" spans="1:4" ht="41.25" x14ac:dyDescent="0.2">
      <c r="A253" s="57" t="s">
        <v>308</v>
      </c>
      <c r="B253" s="28" t="str">
        <f>"Aplicar uma camada sobre a lesão de 12/12 horas utilizando técnica asséptica. Ocluir o local com gaze estéril. Continuar até a cicatrização completa da ferida."</f>
        <v>Aplicar uma camada sobre a lesão de 12/12 horas utilizando técnica asséptica. Ocluir o local com gaze estéril. Continuar até a cicatrização completa da ferida.</v>
      </c>
      <c r="C253" s="133" t="s">
        <v>309</v>
      </c>
      <c r="D253" s="25"/>
    </row>
    <row r="254" spans="1:4" x14ac:dyDescent="0.2">
      <c r="A254" s="170"/>
      <c r="B254" s="99"/>
      <c r="C254" s="65"/>
      <c r="D254" s="25"/>
    </row>
    <row r="255" spans="1:4" x14ac:dyDescent="0.2">
      <c r="A255" s="46"/>
      <c r="B255" s="135"/>
    </row>
    <row r="256" spans="1:4" x14ac:dyDescent="0.2">
      <c r="A256" s="46"/>
      <c r="B256" s="135"/>
    </row>
    <row r="257" spans="1:2" x14ac:dyDescent="0.2">
      <c r="A257" s="46"/>
      <c r="B257" s="135"/>
    </row>
    <row r="258" spans="1:2" x14ac:dyDescent="0.2">
      <c r="A258" s="46"/>
      <c r="B258" s="135"/>
    </row>
    <row r="259" spans="1:2" x14ac:dyDescent="0.2">
      <c r="B259" s="135"/>
    </row>
    <row r="260" spans="1:2" x14ac:dyDescent="0.2">
      <c r="B260" s="135"/>
    </row>
    <row r="261" spans="1:2" x14ac:dyDescent="0.2">
      <c r="B261" s="135"/>
    </row>
    <row r="262" spans="1:2" x14ac:dyDescent="0.2">
      <c r="B262" s="135"/>
    </row>
    <row r="263" spans="1:2" x14ac:dyDescent="0.2">
      <c r="B263" s="135"/>
    </row>
    <row r="264" spans="1:2" x14ac:dyDescent="0.2">
      <c r="B264" s="135"/>
    </row>
    <row r="265" spans="1:2" x14ac:dyDescent="0.2">
      <c r="B265" s="135"/>
    </row>
    <row r="266" spans="1:2" x14ac:dyDescent="0.2">
      <c r="B266" s="135"/>
    </row>
    <row r="267" spans="1:2" x14ac:dyDescent="0.2">
      <c r="B267" s="135"/>
    </row>
    <row r="268" spans="1:2" x14ac:dyDescent="0.2">
      <c r="B268" s="135"/>
    </row>
    <row r="269" spans="1:2" x14ac:dyDescent="0.2">
      <c r="B269" s="135"/>
    </row>
    <row r="270" spans="1:2" x14ac:dyDescent="0.2">
      <c r="B270" s="135"/>
    </row>
    <row r="271" spans="1:2" x14ac:dyDescent="0.2">
      <c r="B271" s="135"/>
    </row>
    <row r="272" spans="1:2" x14ac:dyDescent="0.2">
      <c r="B272" s="135"/>
    </row>
    <row r="273" spans="2:3" x14ac:dyDescent="0.2">
      <c r="B273" s="135"/>
    </row>
    <row r="274" spans="2:3" x14ac:dyDescent="0.2">
      <c r="B274" s="135"/>
    </row>
    <row r="275" spans="2:3" x14ac:dyDescent="0.2">
      <c r="B275" s="135"/>
    </row>
    <row r="276" spans="2:3" x14ac:dyDescent="0.2">
      <c r="B276" s="135"/>
    </row>
    <row r="277" spans="2:3" x14ac:dyDescent="0.2">
      <c r="B277" s="135"/>
    </row>
    <row r="278" spans="2:3" x14ac:dyDescent="0.2">
      <c r="B278" s="135"/>
    </row>
    <row r="279" spans="2:3" x14ac:dyDescent="0.2">
      <c r="B279" s="135"/>
    </row>
    <row r="280" spans="2:3" x14ac:dyDescent="0.2">
      <c r="B280" s="135"/>
    </row>
    <row r="281" spans="2:3" x14ac:dyDescent="0.2">
      <c r="B281" s="135"/>
      <c r="C281" s="25" t="s">
        <v>310</v>
      </c>
    </row>
    <row r="282" spans="2:3" x14ac:dyDescent="0.2">
      <c r="B282" s="135"/>
    </row>
    <row r="283" spans="2:3" x14ac:dyDescent="0.2">
      <c r="B283" s="135"/>
    </row>
    <row r="284" spans="2:3" x14ac:dyDescent="0.2">
      <c r="B284" s="135"/>
    </row>
    <row r="285" spans="2:3" x14ac:dyDescent="0.2">
      <c r="B285" s="135"/>
    </row>
    <row r="286" spans="2:3" x14ac:dyDescent="0.2">
      <c r="B286" s="135"/>
    </row>
    <row r="287" spans="2:3" x14ac:dyDescent="0.2">
      <c r="B287" s="135"/>
    </row>
    <row r="288" spans="2:3" x14ac:dyDescent="0.2">
      <c r="B288" s="135"/>
    </row>
    <row r="289" spans="2:2" x14ac:dyDescent="0.2">
      <c r="B289" s="135"/>
    </row>
    <row r="290" spans="2:2" x14ac:dyDescent="0.2">
      <c r="B290" s="136"/>
    </row>
    <row r="291" spans="2:2" x14ac:dyDescent="0.2">
      <c r="B291" s="136"/>
    </row>
    <row r="292" spans="2:2" x14ac:dyDescent="0.2">
      <c r="B292" s="136"/>
    </row>
    <row r="293" spans="2:2" x14ac:dyDescent="0.2">
      <c r="B293" s="136"/>
    </row>
    <row r="294" spans="2:2" x14ac:dyDescent="0.2">
      <c r="B294" s="136"/>
    </row>
    <row r="295" spans="2:2" x14ac:dyDescent="0.2">
      <c r="B295" s="136"/>
    </row>
    <row r="296" spans="2:2" x14ac:dyDescent="0.2">
      <c r="B296" s="136"/>
    </row>
    <row r="297" spans="2:2" x14ac:dyDescent="0.2">
      <c r="B297" s="136"/>
    </row>
    <row r="298" spans="2:2" x14ac:dyDescent="0.2">
      <c r="B298" s="136"/>
    </row>
    <row r="299" spans="2:2" x14ac:dyDescent="0.2">
      <c r="B299" s="136"/>
    </row>
    <row r="300" spans="2:2" x14ac:dyDescent="0.2">
      <c r="B300" s="136"/>
    </row>
    <row r="301" spans="2:2" x14ac:dyDescent="0.2">
      <c r="B301" s="136"/>
    </row>
    <row r="302" spans="2:2" x14ac:dyDescent="0.2">
      <c r="B302" s="136"/>
    </row>
    <row r="303" spans="2:2" x14ac:dyDescent="0.2">
      <c r="B303" s="136"/>
    </row>
    <row r="304" spans="2:2" x14ac:dyDescent="0.2">
      <c r="B304" s="136"/>
    </row>
    <row r="305" spans="2:2" x14ac:dyDescent="0.2">
      <c r="B305" s="136"/>
    </row>
    <row r="306" spans="2:2" x14ac:dyDescent="0.2">
      <c r="B306" s="136"/>
    </row>
    <row r="307" spans="2:2" x14ac:dyDescent="0.2">
      <c r="B307" s="136"/>
    </row>
    <row r="308" spans="2:2" x14ac:dyDescent="0.2">
      <c r="B308" s="136"/>
    </row>
    <row r="309" spans="2:2" x14ac:dyDescent="0.2">
      <c r="B309" s="136"/>
    </row>
    <row r="310" spans="2:2" x14ac:dyDescent="0.2">
      <c r="B310" s="136"/>
    </row>
    <row r="311" spans="2:2" x14ac:dyDescent="0.2">
      <c r="B311" s="136"/>
    </row>
    <row r="312" spans="2:2" x14ac:dyDescent="0.2">
      <c r="B312" s="136"/>
    </row>
    <row r="313" spans="2:2" x14ac:dyDescent="0.2">
      <c r="B313" s="136"/>
    </row>
    <row r="314" spans="2:2" x14ac:dyDescent="0.2">
      <c r="B314" s="136"/>
    </row>
    <row r="315" spans="2:2" x14ac:dyDescent="0.2">
      <c r="B315" s="136"/>
    </row>
    <row r="316" spans="2:2" x14ac:dyDescent="0.2">
      <c r="B316" s="136"/>
    </row>
    <row r="317" spans="2:2" x14ac:dyDescent="0.2">
      <c r="B317" s="136"/>
    </row>
    <row r="318" spans="2:2" x14ac:dyDescent="0.2">
      <c r="B318" s="136"/>
    </row>
    <row r="319" spans="2:2" x14ac:dyDescent="0.2">
      <c r="B319" s="136"/>
    </row>
    <row r="320" spans="2:2" x14ac:dyDescent="0.2">
      <c r="B320" s="136"/>
    </row>
    <row r="321" spans="2:2" x14ac:dyDescent="0.2">
      <c r="B321" s="136"/>
    </row>
    <row r="322" spans="2:2" x14ac:dyDescent="0.2">
      <c r="B322" s="136"/>
    </row>
    <row r="323" spans="2:2" x14ac:dyDescent="0.2">
      <c r="B323" s="136"/>
    </row>
    <row r="324" spans="2:2" x14ac:dyDescent="0.2">
      <c r="B324" s="136"/>
    </row>
    <row r="325" spans="2:2" x14ac:dyDescent="0.2">
      <c r="B325" s="136"/>
    </row>
    <row r="326" spans="2:2" x14ac:dyDescent="0.2">
      <c r="B326" s="136"/>
    </row>
    <row r="327" spans="2:2" x14ac:dyDescent="0.2">
      <c r="B327" s="136"/>
    </row>
    <row r="328" spans="2:2" x14ac:dyDescent="0.2">
      <c r="B328" s="136"/>
    </row>
    <row r="329" spans="2:2" x14ac:dyDescent="0.2">
      <c r="B329" s="136"/>
    </row>
    <row r="330" spans="2:2" x14ac:dyDescent="0.2">
      <c r="B330" s="136"/>
    </row>
    <row r="331" spans="2:2" x14ac:dyDescent="0.2">
      <c r="B331" s="136"/>
    </row>
    <row r="332" spans="2:2" x14ac:dyDescent="0.2">
      <c r="B332" s="136"/>
    </row>
    <row r="333" spans="2:2" x14ac:dyDescent="0.2">
      <c r="B333" s="136"/>
    </row>
    <row r="334" spans="2:2" x14ac:dyDescent="0.2">
      <c r="B334" s="136"/>
    </row>
    <row r="335" spans="2:2" x14ac:dyDescent="0.2">
      <c r="B335" s="136"/>
    </row>
    <row r="336" spans="2:2" x14ac:dyDescent="0.2">
      <c r="B336" s="136"/>
    </row>
    <row r="337" spans="2:2" x14ac:dyDescent="0.2">
      <c r="B337" s="136"/>
    </row>
    <row r="338" spans="2:2" x14ac:dyDescent="0.2">
      <c r="B338" s="136"/>
    </row>
    <row r="339" spans="2:2" x14ac:dyDescent="0.2">
      <c r="B339" s="136"/>
    </row>
    <row r="340" spans="2:2" x14ac:dyDescent="0.2">
      <c r="B340" s="136"/>
    </row>
    <row r="341" spans="2:2" x14ac:dyDescent="0.2">
      <c r="B341" s="136"/>
    </row>
    <row r="342" spans="2:2" x14ac:dyDescent="0.2">
      <c r="B342" s="136"/>
    </row>
    <row r="343" spans="2:2" x14ac:dyDescent="0.2">
      <c r="B343" s="136"/>
    </row>
    <row r="344" spans="2:2" x14ac:dyDescent="0.2">
      <c r="B344" s="136"/>
    </row>
    <row r="345" spans="2:2" x14ac:dyDescent="0.2">
      <c r="B345" s="136"/>
    </row>
    <row r="346" spans="2:2" x14ac:dyDescent="0.2">
      <c r="B346" s="136"/>
    </row>
    <row r="347" spans="2:2" x14ac:dyDescent="0.2">
      <c r="B347" s="136"/>
    </row>
    <row r="348" spans="2:2" x14ac:dyDescent="0.2">
      <c r="B348" s="136"/>
    </row>
    <row r="349" spans="2:2" x14ac:dyDescent="0.2">
      <c r="B349" s="136"/>
    </row>
    <row r="350" spans="2:2" x14ac:dyDescent="0.2">
      <c r="B350" s="136"/>
    </row>
    <row r="351" spans="2:2" x14ac:dyDescent="0.2">
      <c r="B351" s="136"/>
    </row>
    <row r="352" spans="2:2" x14ac:dyDescent="0.2">
      <c r="B352" s="136"/>
    </row>
    <row r="353" spans="2:2" x14ac:dyDescent="0.2">
      <c r="B353" s="136"/>
    </row>
    <row r="354" spans="2:2" x14ac:dyDescent="0.2">
      <c r="B354" s="136"/>
    </row>
    <row r="355" spans="2:2" x14ac:dyDescent="0.2">
      <c r="B355" s="136"/>
    </row>
    <row r="356" spans="2:2" x14ac:dyDescent="0.2">
      <c r="B356" s="136"/>
    </row>
    <row r="357" spans="2:2" x14ac:dyDescent="0.2">
      <c r="B357" s="136"/>
    </row>
    <row r="358" spans="2:2" x14ac:dyDescent="0.2">
      <c r="B358" s="136"/>
    </row>
    <row r="359" spans="2:2" x14ac:dyDescent="0.2">
      <c r="B359" s="136"/>
    </row>
    <row r="360" spans="2:2" x14ac:dyDescent="0.2">
      <c r="B360" s="136"/>
    </row>
    <row r="361" spans="2:2" x14ac:dyDescent="0.2">
      <c r="B361" s="136"/>
    </row>
    <row r="362" spans="2:2" x14ac:dyDescent="0.2">
      <c r="B362" s="136"/>
    </row>
    <row r="363" spans="2:2" x14ac:dyDescent="0.2">
      <c r="B363" s="136"/>
    </row>
    <row r="364" spans="2:2" x14ac:dyDescent="0.2">
      <c r="B364" s="136"/>
    </row>
    <row r="365" spans="2:2" x14ac:dyDescent="0.2">
      <c r="B365" s="136"/>
    </row>
    <row r="366" spans="2:2" x14ac:dyDescent="0.2">
      <c r="B366" s="136"/>
    </row>
    <row r="367" spans="2:2" x14ac:dyDescent="0.2">
      <c r="B367" s="136"/>
    </row>
    <row r="368" spans="2:2" x14ac:dyDescent="0.2">
      <c r="B368" s="136"/>
    </row>
    <row r="369" spans="2:2" x14ac:dyDescent="0.2">
      <c r="B369" s="136"/>
    </row>
    <row r="370" spans="2:2" x14ac:dyDescent="0.2">
      <c r="B370" s="136"/>
    </row>
    <row r="371" spans="2:2" x14ac:dyDescent="0.2">
      <c r="B371" s="136"/>
    </row>
    <row r="372" spans="2:2" x14ac:dyDescent="0.2">
      <c r="B372" s="136"/>
    </row>
    <row r="373" spans="2:2" x14ac:dyDescent="0.2">
      <c r="B373" s="136"/>
    </row>
    <row r="374" spans="2:2" x14ac:dyDescent="0.2">
      <c r="B374" s="136"/>
    </row>
    <row r="375" spans="2:2" x14ac:dyDescent="0.2">
      <c r="B375" s="136"/>
    </row>
    <row r="376" spans="2:2" x14ac:dyDescent="0.2">
      <c r="B376" s="136"/>
    </row>
    <row r="377" spans="2:2" x14ac:dyDescent="0.2">
      <c r="B377" s="136"/>
    </row>
    <row r="378" spans="2:2" x14ac:dyDescent="0.2">
      <c r="B378" s="136"/>
    </row>
    <row r="379" spans="2:2" x14ac:dyDescent="0.2">
      <c r="B379" s="136"/>
    </row>
    <row r="380" spans="2:2" x14ac:dyDescent="0.2">
      <c r="B380" s="136"/>
    </row>
    <row r="381" spans="2:2" x14ac:dyDescent="0.2">
      <c r="B381" s="136"/>
    </row>
    <row r="382" spans="2:2" x14ac:dyDescent="0.2">
      <c r="B382" s="136"/>
    </row>
    <row r="383" spans="2:2" x14ac:dyDescent="0.2">
      <c r="B383" s="136"/>
    </row>
    <row r="384" spans="2:2" x14ac:dyDescent="0.2">
      <c r="B384" s="136"/>
    </row>
    <row r="385" spans="2:2" x14ac:dyDescent="0.2">
      <c r="B385" s="136"/>
    </row>
    <row r="386" spans="2:2" x14ac:dyDescent="0.2">
      <c r="B386" s="136"/>
    </row>
    <row r="387" spans="2:2" x14ac:dyDescent="0.2">
      <c r="B387" s="136"/>
    </row>
    <row r="388" spans="2:2" x14ac:dyDescent="0.2">
      <c r="B388" s="136"/>
    </row>
    <row r="389" spans="2:2" x14ac:dyDescent="0.2">
      <c r="B389" s="136"/>
    </row>
    <row r="390" spans="2:2" x14ac:dyDescent="0.2">
      <c r="B390" s="136"/>
    </row>
    <row r="391" spans="2:2" x14ac:dyDescent="0.2">
      <c r="B391" s="136"/>
    </row>
    <row r="392" spans="2:2" x14ac:dyDescent="0.2">
      <c r="B392" s="136"/>
    </row>
    <row r="393" spans="2:2" x14ac:dyDescent="0.2">
      <c r="B393" s="136"/>
    </row>
    <row r="394" spans="2:2" x14ac:dyDescent="0.2">
      <c r="B394" s="136"/>
    </row>
    <row r="395" spans="2:2" x14ac:dyDescent="0.2">
      <c r="B395" s="136"/>
    </row>
    <row r="396" spans="2:2" x14ac:dyDescent="0.2">
      <c r="B396" s="136"/>
    </row>
    <row r="397" spans="2:2" x14ac:dyDescent="0.2">
      <c r="B397" s="136"/>
    </row>
    <row r="398" spans="2:2" x14ac:dyDescent="0.2">
      <c r="B398" s="136"/>
    </row>
    <row r="399" spans="2:2" x14ac:dyDescent="0.2">
      <c r="B399" s="136"/>
    </row>
    <row r="400" spans="2:2" x14ac:dyDescent="0.2">
      <c r="B400" s="136"/>
    </row>
    <row r="401" spans="2:2" x14ac:dyDescent="0.2">
      <c r="B401" s="136"/>
    </row>
    <row r="402" spans="2:2" x14ac:dyDescent="0.2">
      <c r="B402" s="136"/>
    </row>
    <row r="403" spans="2:2" x14ac:dyDescent="0.2">
      <c r="B403" s="136"/>
    </row>
    <row r="404" spans="2:2" x14ac:dyDescent="0.2">
      <c r="B404" s="136"/>
    </row>
    <row r="405" spans="2:2" x14ac:dyDescent="0.2">
      <c r="B405" s="136"/>
    </row>
    <row r="406" spans="2:2" x14ac:dyDescent="0.2">
      <c r="B406" s="136"/>
    </row>
    <row r="407" spans="2:2" x14ac:dyDescent="0.2">
      <c r="B407" s="136"/>
    </row>
    <row r="408" spans="2:2" x14ac:dyDescent="0.2">
      <c r="B408" s="136"/>
    </row>
    <row r="409" spans="2:2" x14ac:dyDescent="0.2">
      <c r="B409" s="136"/>
    </row>
    <row r="410" spans="2:2" x14ac:dyDescent="0.2">
      <c r="B410" s="136"/>
    </row>
    <row r="411" spans="2:2" x14ac:dyDescent="0.2">
      <c r="B411" s="136"/>
    </row>
    <row r="412" spans="2:2" x14ac:dyDescent="0.2">
      <c r="B412" s="136"/>
    </row>
    <row r="413" spans="2:2" x14ac:dyDescent="0.2">
      <c r="B413" s="136"/>
    </row>
    <row r="414" spans="2:2" x14ac:dyDescent="0.2">
      <c r="B414" s="136"/>
    </row>
    <row r="415" spans="2:2" x14ac:dyDescent="0.2">
      <c r="B415" s="136"/>
    </row>
    <row r="416" spans="2:2" x14ac:dyDescent="0.2">
      <c r="B416" s="136"/>
    </row>
    <row r="417" spans="2:2" x14ac:dyDescent="0.2">
      <c r="B417" s="136"/>
    </row>
    <row r="418" spans="2:2" x14ac:dyDescent="0.2">
      <c r="B418" s="136"/>
    </row>
    <row r="419" spans="2:2" x14ac:dyDescent="0.2">
      <c r="B419" s="136"/>
    </row>
    <row r="420" spans="2:2" x14ac:dyDescent="0.2">
      <c r="B420" s="136"/>
    </row>
    <row r="421" spans="2:2" x14ac:dyDescent="0.2">
      <c r="B421" s="136"/>
    </row>
    <row r="422" spans="2:2" x14ac:dyDescent="0.2">
      <c r="B422" s="136"/>
    </row>
    <row r="423" spans="2:2" x14ac:dyDescent="0.2">
      <c r="B423" s="136"/>
    </row>
    <row r="424" spans="2:2" x14ac:dyDescent="0.2">
      <c r="B424" s="136"/>
    </row>
    <row r="425" spans="2:2" x14ac:dyDescent="0.2">
      <c r="B425" s="136"/>
    </row>
    <row r="426" spans="2:2" x14ac:dyDescent="0.2">
      <c r="B426" s="136"/>
    </row>
    <row r="427" spans="2:2" x14ac:dyDescent="0.2">
      <c r="B427" s="136"/>
    </row>
    <row r="428" spans="2:2" x14ac:dyDescent="0.2">
      <c r="B428" s="136"/>
    </row>
    <row r="429" spans="2:2" x14ac:dyDescent="0.2">
      <c r="B429" s="136"/>
    </row>
    <row r="430" spans="2:2" x14ac:dyDescent="0.2">
      <c r="B430" s="136"/>
    </row>
    <row r="431" spans="2:2" x14ac:dyDescent="0.2">
      <c r="B431" s="136"/>
    </row>
    <row r="432" spans="2:2" x14ac:dyDescent="0.2">
      <c r="B432" s="136"/>
    </row>
    <row r="433" spans="2:2" x14ac:dyDescent="0.2">
      <c r="B433" s="136"/>
    </row>
    <row r="434" spans="2:2" x14ac:dyDescent="0.2">
      <c r="B434" s="136"/>
    </row>
    <row r="435" spans="2:2" x14ac:dyDescent="0.2">
      <c r="B435" s="136"/>
    </row>
    <row r="436" spans="2:2" x14ac:dyDescent="0.2">
      <c r="B436" s="136"/>
    </row>
    <row r="437" spans="2:2" x14ac:dyDescent="0.2">
      <c r="B437" s="136"/>
    </row>
    <row r="438" spans="2:2" x14ac:dyDescent="0.2">
      <c r="B438" s="136"/>
    </row>
    <row r="439" spans="2:2" x14ac:dyDescent="0.2">
      <c r="B439" s="136"/>
    </row>
    <row r="440" spans="2:2" x14ac:dyDescent="0.2">
      <c r="B440" s="136"/>
    </row>
    <row r="441" spans="2:2" x14ac:dyDescent="0.2">
      <c r="B441" s="136"/>
    </row>
    <row r="442" spans="2:2" x14ac:dyDescent="0.2">
      <c r="B442" s="136"/>
    </row>
    <row r="443" spans="2:2" x14ac:dyDescent="0.2">
      <c r="B443" s="136"/>
    </row>
    <row r="444" spans="2:2" x14ac:dyDescent="0.2">
      <c r="B444" s="136"/>
    </row>
    <row r="445" spans="2:2" x14ac:dyDescent="0.2">
      <c r="B445" s="136"/>
    </row>
    <row r="446" spans="2:2" x14ac:dyDescent="0.2">
      <c r="B446" s="136"/>
    </row>
    <row r="447" spans="2:2" x14ac:dyDescent="0.2">
      <c r="B447" s="136"/>
    </row>
    <row r="448" spans="2:2" x14ac:dyDescent="0.2">
      <c r="B448" s="136"/>
    </row>
    <row r="449" spans="2:2" x14ac:dyDescent="0.2">
      <c r="B449" s="136"/>
    </row>
    <row r="450" spans="2:2" x14ac:dyDescent="0.2">
      <c r="B450" s="136"/>
    </row>
    <row r="451" spans="2:2" x14ac:dyDescent="0.2">
      <c r="B451" s="136"/>
    </row>
    <row r="452" spans="2:2" x14ac:dyDescent="0.2">
      <c r="B452" s="136"/>
    </row>
    <row r="453" spans="2:2" x14ac:dyDescent="0.2">
      <c r="B453" s="136"/>
    </row>
    <row r="454" spans="2:2" x14ac:dyDescent="0.2">
      <c r="B454" s="136"/>
    </row>
    <row r="455" spans="2:2" x14ac:dyDescent="0.2">
      <c r="B455" s="136"/>
    </row>
    <row r="456" spans="2:2" x14ac:dyDescent="0.2">
      <c r="B456" s="136"/>
    </row>
    <row r="457" spans="2:2" x14ac:dyDescent="0.2">
      <c r="B457" s="136"/>
    </row>
    <row r="458" spans="2:2" x14ac:dyDescent="0.2">
      <c r="B458" s="136"/>
    </row>
    <row r="459" spans="2:2" x14ac:dyDescent="0.2">
      <c r="B459" s="136"/>
    </row>
    <row r="460" spans="2:2" x14ac:dyDescent="0.2">
      <c r="B460" s="136"/>
    </row>
    <row r="461" spans="2:2" x14ac:dyDescent="0.2">
      <c r="B461" s="136"/>
    </row>
    <row r="462" spans="2:2" x14ac:dyDescent="0.2">
      <c r="B462" s="136"/>
    </row>
    <row r="463" spans="2:2" x14ac:dyDescent="0.2">
      <c r="B463" s="136"/>
    </row>
    <row r="464" spans="2:2" x14ac:dyDescent="0.2">
      <c r="B464" s="136"/>
    </row>
    <row r="465" spans="2:2" x14ac:dyDescent="0.2">
      <c r="B465" s="136"/>
    </row>
    <row r="466" spans="2:2" x14ac:dyDescent="0.2">
      <c r="B466" s="136"/>
    </row>
    <row r="467" spans="2:2" x14ac:dyDescent="0.2">
      <c r="B467" s="136"/>
    </row>
    <row r="468" spans="2:2" x14ac:dyDescent="0.2">
      <c r="B468" s="136"/>
    </row>
    <row r="469" spans="2:2" x14ac:dyDescent="0.2">
      <c r="B469" s="136"/>
    </row>
    <row r="470" spans="2:2" x14ac:dyDescent="0.2">
      <c r="B470" s="136"/>
    </row>
    <row r="471" spans="2:2" x14ac:dyDescent="0.2">
      <c r="B471" s="136"/>
    </row>
    <row r="472" spans="2:2" x14ac:dyDescent="0.2">
      <c r="B472" s="136"/>
    </row>
    <row r="473" spans="2:2" x14ac:dyDescent="0.2">
      <c r="B473" s="136"/>
    </row>
    <row r="474" spans="2:2" x14ac:dyDescent="0.2">
      <c r="B474" s="136"/>
    </row>
    <row r="475" spans="2:2" x14ac:dyDescent="0.2">
      <c r="B475" s="136"/>
    </row>
    <row r="476" spans="2:2" x14ac:dyDescent="0.2">
      <c r="B476" s="136"/>
    </row>
    <row r="477" spans="2:2" x14ac:dyDescent="0.2">
      <c r="B477" s="136"/>
    </row>
    <row r="478" spans="2:2" x14ac:dyDescent="0.2">
      <c r="B478" s="136"/>
    </row>
    <row r="479" spans="2:2" x14ac:dyDescent="0.2">
      <c r="B479" s="136"/>
    </row>
    <row r="480" spans="2:2" x14ac:dyDescent="0.2">
      <c r="B480" s="136"/>
    </row>
    <row r="481" spans="2:2" x14ac:dyDescent="0.2">
      <c r="B481" s="136"/>
    </row>
    <row r="482" spans="2:2" x14ac:dyDescent="0.2">
      <c r="B482" s="136"/>
    </row>
    <row r="483" spans="2:2" x14ac:dyDescent="0.2">
      <c r="B483" s="136"/>
    </row>
    <row r="484" spans="2:2" x14ac:dyDescent="0.2">
      <c r="B484" s="136"/>
    </row>
    <row r="485" spans="2:2" x14ac:dyDescent="0.2">
      <c r="B485" s="136"/>
    </row>
    <row r="486" spans="2:2" x14ac:dyDescent="0.2">
      <c r="B486" s="136"/>
    </row>
    <row r="487" spans="2:2" x14ac:dyDescent="0.2">
      <c r="B487" s="136"/>
    </row>
    <row r="488" spans="2:2" x14ac:dyDescent="0.2">
      <c r="B488" s="136"/>
    </row>
    <row r="489" spans="2:2" x14ac:dyDescent="0.2">
      <c r="B489" s="136"/>
    </row>
    <row r="490" spans="2:2" x14ac:dyDescent="0.2">
      <c r="B490" s="136"/>
    </row>
    <row r="491" spans="2:2" x14ac:dyDescent="0.2">
      <c r="B491" s="136"/>
    </row>
    <row r="492" spans="2:2" x14ac:dyDescent="0.2">
      <c r="B492" s="136"/>
    </row>
    <row r="493" spans="2:2" x14ac:dyDescent="0.2">
      <c r="B493" s="136"/>
    </row>
    <row r="494" spans="2:2" x14ac:dyDescent="0.2">
      <c r="B494" s="136"/>
    </row>
    <row r="495" spans="2:2" x14ac:dyDescent="0.2">
      <c r="B495" s="136"/>
    </row>
    <row r="496" spans="2:2" x14ac:dyDescent="0.2">
      <c r="B496" s="136"/>
    </row>
    <row r="497" spans="2:2" x14ac:dyDescent="0.2">
      <c r="B497" s="136"/>
    </row>
    <row r="498" spans="2:2" x14ac:dyDescent="0.2">
      <c r="B498" s="136"/>
    </row>
    <row r="499" spans="2:2" x14ac:dyDescent="0.2">
      <c r="B499" s="136"/>
    </row>
    <row r="500" spans="2:2" x14ac:dyDescent="0.2">
      <c r="B500" s="136"/>
    </row>
    <row r="501" spans="2:2" x14ac:dyDescent="0.2">
      <c r="B501" s="136"/>
    </row>
    <row r="502" spans="2:2" x14ac:dyDescent="0.2">
      <c r="B502" s="136"/>
    </row>
    <row r="503" spans="2:2" x14ac:dyDescent="0.2">
      <c r="B503" s="136"/>
    </row>
    <row r="504" spans="2:2" x14ac:dyDescent="0.2">
      <c r="B504" s="136"/>
    </row>
    <row r="505" spans="2:2" x14ac:dyDescent="0.2">
      <c r="B505" s="136"/>
    </row>
    <row r="506" spans="2:2" x14ac:dyDescent="0.2">
      <c r="B506" s="136"/>
    </row>
    <row r="507" spans="2:2" x14ac:dyDescent="0.2">
      <c r="B507" s="136"/>
    </row>
    <row r="508" spans="2:2" x14ac:dyDescent="0.2">
      <c r="B508" s="136"/>
    </row>
    <row r="509" spans="2:2" x14ac:dyDescent="0.2">
      <c r="B509" s="136"/>
    </row>
    <row r="510" spans="2:2" x14ac:dyDescent="0.2">
      <c r="B510" s="136"/>
    </row>
    <row r="511" spans="2:2" x14ac:dyDescent="0.2">
      <c r="B511" s="136"/>
    </row>
    <row r="512" spans="2:2" x14ac:dyDescent="0.2">
      <c r="B512" s="136"/>
    </row>
    <row r="513" spans="2:2" x14ac:dyDescent="0.2">
      <c r="B513" s="136"/>
    </row>
    <row r="514" spans="2:2" x14ac:dyDescent="0.2">
      <c r="B514" s="136"/>
    </row>
    <row r="515" spans="2:2" x14ac:dyDescent="0.2">
      <c r="B515" s="136"/>
    </row>
    <row r="516" spans="2:2" x14ac:dyDescent="0.2">
      <c r="B516" s="136"/>
    </row>
    <row r="517" spans="2:2" x14ac:dyDescent="0.2">
      <c r="B517" s="136"/>
    </row>
    <row r="518" spans="2:2" x14ac:dyDescent="0.2">
      <c r="B518" s="136"/>
    </row>
    <row r="519" spans="2:2" x14ac:dyDescent="0.2">
      <c r="B519" s="136"/>
    </row>
    <row r="520" spans="2:2" x14ac:dyDescent="0.2">
      <c r="B520" s="136"/>
    </row>
    <row r="521" spans="2:2" x14ac:dyDescent="0.2">
      <c r="B521" s="136"/>
    </row>
    <row r="522" spans="2:2" x14ac:dyDescent="0.2">
      <c r="B522" s="136"/>
    </row>
    <row r="523" spans="2:2" x14ac:dyDescent="0.2">
      <c r="B523" s="136"/>
    </row>
    <row r="524" spans="2:2" x14ac:dyDescent="0.2">
      <c r="B524" s="136"/>
    </row>
    <row r="525" spans="2:2" x14ac:dyDescent="0.2">
      <c r="B525" s="136"/>
    </row>
    <row r="526" spans="2:2" x14ac:dyDescent="0.2">
      <c r="B526" s="136"/>
    </row>
    <row r="527" spans="2:2" x14ac:dyDescent="0.2">
      <c r="B527" s="136"/>
    </row>
    <row r="528" spans="2:2" x14ac:dyDescent="0.2">
      <c r="B528" s="136"/>
    </row>
    <row r="529" spans="2:2" x14ac:dyDescent="0.2">
      <c r="B529" s="136"/>
    </row>
    <row r="530" spans="2:2" x14ac:dyDescent="0.2">
      <c r="B530" s="136"/>
    </row>
    <row r="531" spans="2:2" x14ac:dyDescent="0.2">
      <c r="B531" s="136"/>
    </row>
    <row r="532" spans="2:2" x14ac:dyDescent="0.2">
      <c r="B532" s="136"/>
    </row>
    <row r="533" spans="2:2" x14ac:dyDescent="0.2">
      <c r="B533" s="136"/>
    </row>
    <row r="534" spans="2:2" x14ac:dyDescent="0.2">
      <c r="B534" s="136"/>
    </row>
    <row r="535" spans="2:2" x14ac:dyDescent="0.2">
      <c r="B535" s="136"/>
    </row>
    <row r="536" spans="2:2" x14ac:dyDescent="0.2">
      <c r="B536" s="136"/>
    </row>
    <row r="537" spans="2:2" x14ac:dyDescent="0.2">
      <c r="B537" s="136"/>
    </row>
    <row r="538" spans="2:2" x14ac:dyDescent="0.2">
      <c r="B538" s="136"/>
    </row>
    <row r="539" spans="2:2" x14ac:dyDescent="0.2">
      <c r="B539" s="136"/>
    </row>
    <row r="540" spans="2:2" x14ac:dyDescent="0.2">
      <c r="B540" s="136"/>
    </row>
    <row r="541" spans="2:2" x14ac:dyDescent="0.2">
      <c r="B541" s="136"/>
    </row>
    <row r="542" spans="2:2" x14ac:dyDescent="0.2">
      <c r="B542" s="136"/>
    </row>
    <row r="543" spans="2:2" x14ac:dyDescent="0.2">
      <c r="B543" s="136"/>
    </row>
    <row r="544" spans="2:2" x14ac:dyDescent="0.2">
      <c r="B544" s="136"/>
    </row>
    <row r="545" spans="2:2" x14ac:dyDescent="0.2">
      <c r="B545" s="136"/>
    </row>
    <row r="546" spans="2:2" x14ac:dyDescent="0.2">
      <c r="B546" s="136"/>
    </row>
    <row r="547" spans="2:2" x14ac:dyDescent="0.2">
      <c r="B547" s="136"/>
    </row>
    <row r="548" spans="2:2" x14ac:dyDescent="0.2">
      <c r="B548" s="136"/>
    </row>
    <row r="549" spans="2:2" x14ac:dyDescent="0.2">
      <c r="B549" s="136"/>
    </row>
    <row r="550" spans="2:2" x14ac:dyDescent="0.2">
      <c r="B550" s="136"/>
    </row>
    <row r="551" spans="2:2" x14ac:dyDescent="0.2">
      <c r="B551" s="136"/>
    </row>
    <row r="552" spans="2:2" x14ac:dyDescent="0.2">
      <c r="B552" s="136"/>
    </row>
    <row r="553" spans="2:2" x14ac:dyDescent="0.2">
      <c r="B553" s="136"/>
    </row>
    <row r="554" spans="2:2" x14ac:dyDescent="0.2">
      <c r="B554" s="136"/>
    </row>
    <row r="555" spans="2:2" x14ac:dyDescent="0.2">
      <c r="B555" s="136"/>
    </row>
    <row r="556" spans="2:2" x14ac:dyDescent="0.2">
      <c r="B556" s="136"/>
    </row>
    <row r="557" spans="2:2" x14ac:dyDescent="0.2">
      <c r="B557" s="136"/>
    </row>
    <row r="558" spans="2:2" x14ac:dyDescent="0.2">
      <c r="B558" s="136"/>
    </row>
    <row r="559" spans="2:2" x14ac:dyDescent="0.2">
      <c r="B559" s="136"/>
    </row>
    <row r="560" spans="2:2" x14ac:dyDescent="0.2">
      <c r="B560" s="136"/>
    </row>
    <row r="561" spans="2:2" x14ac:dyDescent="0.2">
      <c r="B561" s="136"/>
    </row>
    <row r="562" spans="2:2" x14ac:dyDescent="0.2">
      <c r="B562" s="136"/>
    </row>
    <row r="563" spans="2:2" x14ac:dyDescent="0.2">
      <c r="B563" s="136"/>
    </row>
    <row r="564" spans="2:2" x14ac:dyDescent="0.2">
      <c r="B564" s="136"/>
    </row>
    <row r="565" spans="2:2" x14ac:dyDescent="0.2">
      <c r="B565" s="136"/>
    </row>
    <row r="566" spans="2:2" x14ac:dyDescent="0.2">
      <c r="B566" s="136"/>
    </row>
    <row r="567" spans="2:2" x14ac:dyDescent="0.2">
      <c r="B567" s="136"/>
    </row>
    <row r="568" spans="2:2" x14ac:dyDescent="0.2">
      <c r="B568" s="136"/>
    </row>
    <row r="569" spans="2:2" x14ac:dyDescent="0.2">
      <c r="B569" s="136"/>
    </row>
    <row r="570" spans="2:2" x14ac:dyDescent="0.2">
      <c r="B570" s="136"/>
    </row>
    <row r="571" spans="2:2" x14ac:dyDescent="0.2">
      <c r="B571" s="136"/>
    </row>
    <row r="572" spans="2:2" x14ac:dyDescent="0.2">
      <c r="B572" s="136"/>
    </row>
    <row r="573" spans="2:2" x14ac:dyDescent="0.2">
      <c r="B573" s="136"/>
    </row>
    <row r="574" spans="2:2" x14ac:dyDescent="0.2">
      <c r="B574" s="136"/>
    </row>
    <row r="575" spans="2:2" x14ac:dyDescent="0.2">
      <c r="B575" s="136"/>
    </row>
    <row r="576" spans="2:2" x14ac:dyDescent="0.2">
      <c r="B576" s="136"/>
    </row>
    <row r="577" spans="2:2" x14ac:dyDescent="0.2">
      <c r="B577" s="136"/>
    </row>
    <row r="578" spans="2:2" x14ac:dyDescent="0.2">
      <c r="B578" s="136"/>
    </row>
    <row r="579" spans="2:2" x14ac:dyDescent="0.2">
      <c r="B579" s="136"/>
    </row>
    <row r="580" spans="2:2" x14ac:dyDescent="0.2">
      <c r="B580" s="136"/>
    </row>
    <row r="581" spans="2:2" x14ac:dyDescent="0.2">
      <c r="B581" s="136"/>
    </row>
    <row r="582" spans="2:2" x14ac:dyDescent="0.2">
      <c r="B582" s="136"/>
    </row>
    <row r="583" spans="2:2" x14ac:dyDescent="0.2">
      <c r="B583" s="136"/>
    </row>
    <row r="584" spans="2:2" x14ac:dyDescent="0.2">
      <c r="B584" s="136"/>
    </row>
    <row r="585" spans="2:2" x14ac:dyDescent="0.2">
      <c r="B585" s="136"/>
    </row>
    <row r="586" spans="2:2" x14ac:dyDescent="0.2">
      <c r="B586" s="136"/>
    </row>
    <row r="587" spans="2:2" x14ac:dyDescent="0.2">
      <c r="B587" s="136"/>
    </row>
    <row r="588" spans="2:2" x14ac:dyDescent="0.2">
      <c r="B588" s="136"/>
    </row>
    <row r="589" spans="2:2" x14ac:dyDescent="0.2">
      <c r="B589" s="136"/>
    </row>
    <row r="590" spans="2:2" x14ac:dyDescent="0.2">
      <c r="B590" s="136"/>
    </row>
    <row r="591" spans="2:2" x14ac:dyDescent="0.2">
      <c r="B591" s="136"/>
    </row>
    <row r="592" spans="2:2" x14ac:dyDescent="0.2">
      <c r="B592" s="136"/>
    </row>
    <row r="593" spans="2:2" x14ac:dyDescent="0.2">
      <c r="B593" s="136"/>
    </row>
    <row r="594" spans="2:2" x14ac:dyDescent="0.2">
      <c r="B594" s="136"/>
    </row>
    <row r="595" spans="2:2" x14ac:dyDescent="0.2">
      <c r="B595" s="136"/>
    </row>
    <row r="596" spans="2:2" x14ac:dyDescent="0.2">
      <c r="B596" s="136"/>
    </row>
    <row r="597" spans="2:2" x14ac:dyDescent="0.2">
      <c r="B597" s="136"/>
    </row>
    <row r="598" spans="2:2" x14ac:dyDescent="0.2">
      <c r="B598" s="136"/>
    </row>
    <row r="599" spans="2:2" x14ac:dyDescent="0.2">
      <c r="B599" s="136"/>
    </row>
    <row r="600" spans="2:2" x14ac:dyDescent="0.2">
      <c r="B600" s="136"/>
    </row>
    <row r="601" spans="2:2" x14ac:dyDescent="0.2">
      <c r="B601" s="136"/>
    </row>
    <row r="602" spans="2:2" x14ac:dyDescent="0.2">
      <c r="B602" s="136"/>
    </row>
    <row r="603" spans="2:2" x14ac:dyDescent="0.2">
      <c r="B603" s="136"/>
    </row>
    <row r="604" spans="2:2" x14ac:dyDescent="0.2">
      <c r="B604" s="136"/>
    </row>
    <row r="605" spans="2:2" x14ac:dyDescent="0.2">
      <c r="B605" s="136"/>
    </row>
    <row r="606" spans="2:2" x14ac:dyDescent="0.2">
      <c r="B606" s="136"/>
    </row>
    <row r="607" spans="2:2" x14ac:dyDescent="0.2">
      <c r="B607" s="136"/>
    </row>
    <row r="608" spans="2:2" x14ac:dyDescent="0.2">
      <c r="B608" s="136"/>
    </row>
    <row r="609" spans="2:2" x14ac:dyDescent="0.2">
      <c r="B609" s="136"/>
    </row>
    <row r="610" spans="2:2" x14ac:dyDescent="0.2">
      <c r="B610" s="136"/>
    </row>
    <row r="611" spans="2:2" x14ac:dyDescent="0.2">
      <c r="B611" s="136"/>
    </row>
    <row r="612" spans="2:2" x14ac:dyDescent="0.2">
      <c r="B612" s="136"/>
    </row>
    <row r="613" spans="2:2" x14ac:dyDescent="0.2">
      <c r="B613" s="136"/>
    </row>
    <row r="614" spans="2:2" x14ac:dyDescent="0.2">
      <c r="B614" s="136"/>
    </row>
    <row r="615" spans="2:2" x14ac:dyDescent="0.2">
      <c r="B615" s="136"/>
    </row>
    <row r="616" spans="2:2" x14ac:dyDescent="0.2">
      <c r="B616" s="136"/>
    </row>
    <row r="617" spans="2:2" x14ac:dyDescent="0.2">
      <c r="B617" s="136"/>
    </row>
    <row r="618" spans="2:2" x14ac:dyDescent="0.2">
      <c r="B618" s="136"/>
    </row>
    <row r="619" spans="2:2" x14ac:dyDescent="0.2">
      <c r="B619" s="136"/>
    </row>
    <row r="620" spans="2:2" x14ac:dyDescent="0.2">
      <c r="B620" s="136"/>
    </row>
    <row r="621" spans="2:2" x14ac:dyDescent="0.2">
      <c r="B621" s="136"/>
    </row>
    <row r="622" spans="2:2" x14ac:dyDescent="0.2">
      <c r="B622" s="136"/>
    </row>
    <row r="623" spans="2:2" x14ac:dyDescent="0.2">
      <c r="B623" s="136"/>
    </row>
    <row r="624" spans="2:2" x14ac:dyDescent="0.2">
      <c r="B624" s="136"/>
    </row>
    <row r="625" spans="2:2" x14ac:dyDescent="0.2">
      <c r="B625" s="136"/>
    </row>
    <row r="626" spans="2:2" x14ac:dyDescent="0.2">
      <c r="B626" s="136"/>
    </row>
    <row r="627" spans="2:2" x14ac:dyDescent="0.2">
      <c r="B627" s="136"/>
    </row>
    <row r="628" spans="2:2" x14ac:dyDescent="0.2">
      <c r="B628" s="136"/>
    </row>
    <row r="629" spans="2:2" x14ac:dyDescent="0.2">
      <c r="B629" s="136"/>
    </row>
    <row r="630" spans="2:2" x14ac:dyDescent="0.2">
      <c r="B630" s="136"/>
    </row>
    <row r="631" spans="2:2" x14ac:dyDescent="0.2">
      <c r="B631" s="136"/>
    </row>
    <row r="632" spans="2:2" x14ac:dyDescent="0.2">
      <c r="B632" s="136"/>
    </row>
    <row r="633" spans="2:2" x14ac:dyDescent="0.2">
      <c r="B633" s="136"/>
    </row>
    <row r="634" spans="2:2" x14ac:dyDescent="0.2">
      <c r="B634" s="136"/>
    </row>
    <row r="635" spans="2:2" x14ac:dyDescent="0.2">
      <c r="B635" s="136"/>
    </row>
    <row r="636" spans="2:2" x14ac:dyDescent="0.2">
      <c r="B636" s="136"/>
    </row>
    <row r="637" spans="2:2" x14ac:dyDescent="0.2">
      <c r="B637" s="136"/>
    </row>
    <row r="638" spans="2:2" x14ac:dyDescent="0.2">
      <c r="B638" s="136"/>
    </row>
    <row r="639" spans="2:2" x14ac:dyDescent="0.2">
      <c r="B639" s="136"/>
    </row>
    <row r="640" spans="2:2" x14ac:dyDescent="0.2">
      <c r="B640" s="136"/>
    </row>
    <row r="641" spans="2:2" x14ac:dyDescent="0.2">
      <c r="B641" s="136"/>
    </row>
    <row r="642" spans="2:2" x14ac:dyDescent="0.2">
      <c r="B642" s="136"/>
    </row>
    <row r="643" spans="2:2" x14ac:dyDescent="0.2">
      <c r="B643" s="136"/>
    </row>
    <row r="644" spans="2:2" x14ac:dyDescent="0.2">
      <c r="B644" s="136"/>
    </row>
    <row r="645" spans="2:2" x14ac:dyDescent="0.2">
      <c r="B645" s="136"/>
    </row>
    <row r="646" spans="2:2" x14ac:dyDescent="0.2">
      <c r="B646" s="136"/>
    </row>
    <row r="647" spans="2:2" x14ac:dyDescent="0.2">
      <c r="B647" s="136"/>
    </row>
    <row r="648" spans="2:2" x14ac:dyDescent="0.2">
      <c r="B648" s="136"/>
    </row>
    <row r="649" spans="2:2" x14ac:dyDescent="0.2">
      <c r="B649" s="136"/>
    </row>
    <row r="650" spans="2:2" x14ac:dyDescent="0.2">
      <c r="B650" s="136"/>
    </row>
    <row r="651" spans="2:2" x14ac:dyDescent="0.2">
      <c r="B651" s="136"/>
    </row>
    <row r="652" spans="2:2" x14ac:dyDescent="0.2">
      <c r="B652" s="136"/>
    </row>
    <row r="653" spans="2:2" x14ac:dyDescent="0.2">
      <c r="B653" s="136"/>
    </row>
    <row r="654" spans="2:2" x14ac:dyDescent="0.2">
      <c r="B654" s="136"/>
    </row>
    <row r="655" spans="2:2" x14ac:dyDescent="0.2">
      <c r="B655" s="136"/>
    </row>
    <row r="656" spans="2:2" x14ac:dyDescent="0.2">
      <c r="B656" s="136"/>
    </row>
    <row r="657" spans="2:2" x14ac:dyDescent="0.2">
      <c r="B657" s="136"/>
    </row>
    <row r="658" spans="2:2" x14ac:dyDescent="0.2">
      <c r="B658" s="136"/>
    </row>
    <row r="659" spans="2:2" x14ac:dyDescent="0.2">
      <c r="B659" s="136"/>
    </row>
    <row r="660" spans="2:2" x14ac:dyDescent="0.2">
      <c r="B660" s="136"/>
    </row>
    <row r="661" spans="2:2" x14ac:dyDescent="0.2">
      <c r="B661" s="136"/>
    </row>
    <row r="662" spans="2:2" x14ac:dyDescent="0.2">
      <c r="B662" s="136"/>
    </row>
    <row r="663" spans="2:2" x14ac:dyDescent="0.2">
      <c r="B663" s="136"/>
    </row>
    <row r="664" spans="2:2" x14ac:dyDescent="0.2">
      <c r="B664" s="136"/>
    </row>
    <row r="665" spans="2:2" x14ac:dyDescent="0.2">
      <c r="B665" s="136"/>
    </row>
    <row r="666" spans="2:2" x14ac:dyDescent="0.2">
      <c r="B666" s="136"/>
    </row>
    <row r="667" spans="2:2" x14ac:dyDescent="0.2">
      <c r="B667" s="136"/>
    </row>
    <row r="668" spans="2:2" x14ac:dyDescent="0.2">
      <c r="B668" s="136"/>
    </row>
    <row r="669" spans="2:2" x14ac:dyDescent="0.2">
      <c r="B669" s="136"/>
    </row>
    <row r="670" spans="2:2" x14ac:dyDescent="0.2">
      <c r="B670" s="136"/>
    </row>
    <row r="671" spans="2:2" x14ac:dyDescent="0.2">
      <c r="B671" s="136"/>
    </row>
    <row r="672" spans="2:2" x14ac:dyDescent="0.2">
      <c r="B672" s="136"/>
    </row>
    <row r="673" spans="2:2" x14ac:dyDescent="0.2">
      <c r="B673" s="136"/>
    </row>
    <row r="674" spans="2:2" x14ac:dyDescent="0.2">
      <c r="B674" s="136"/>
    </row>
    <row r="675" spans="2:2" x14ac:dyDescent="0.2">
      <c r="B675" s="136"/>
    </row>
    <row r="676" spans="2:2" x14ac:dyDescent="0.2">
      <c r="B676" s="136"/>
    </row>
    <row r="677" spans="2:2" x14ac:dyDescent="0.2">
      <c r="B677" s="136"/>
    </row>
    <row r="678" spans="2:2" x14ac:dyDescent="0.2">
      <c r="B678" s="136"/>
    </row>
    <row r="679" spans="2:2" x14ac:dyDescent="0.2">
      <c r="B679" s="136"/>
    </row>
    <row r="680" spans="2:2" x14ac:dyDescent="0.2">
      <c r="B680" s="136"/>
    </row>
    <row r="681" spans="2:2" x14ac:dyDescent="0.2">
      <c r="B681" s="136"/>
    </row>
    <row r="682" spans="2:2" x14ac:dyDescent="0.2">
      <c r="B682" s="136"/>
    </row>
    <row r="683" spans="2:2" x14ac:dyDescent="0.2">
      <c r="B683" s="136"/>
    </row>
    <row r="684" spans="2:2" x14ac:dyDescent="0.2">
      <c r="B684" s="136"/>
    </row>
    <row r="685" spans="2:2" x14ac:dyDescent="0.2">
      <c r="B685" s="136"/>
    </row>
    <row r="686" spans="2:2" x14ac:dyDescent="0.2">
      <c r="B686" s="136"/>
    </row>
    <row r="687" spans="2:2" x14ac:dyDescent="0.2">
      <c r="B687" s="136"/>
    </row>
    <row r="688" spans="2:2" x14ac:dyDescent="0.2">
      <c r="B688" s="136"/>
    </row>
    <row r="689" spans="2:2" x14ac:dyDescent="0.2">
      <c r="B689" s="136"/>
    </row>
    <row r="690" spans="2:2" x14ac:dyDescent="0.2">
      <c r="B690" s="136"/>
    </row>
    <row r="691" spans="2:2" x14ac:dyDescent="0.2">
      <c r="B691" s="136"/>
    </row>
    <row r="692" spans="2:2" x14ac:dyDescent="0.2">
      <c r="B692" s="136"/>
    </row>
    <row r="693" spans="2:2" x14ac:dyDescent="0.2">
      <c r="B693" s="136"/>
    </row>
    <row r="694" spans="2:2" x14ac:dyDescent="0.2">
      <c r="B694" s="136"/>
    </row>
    <row r="695" spans="2:2" x14ac:dyDescent="0.2">
      <c r="B695" s="136"/>
    </row>
    <row r="696" spans="2:2" x14ac:dyDescent="0.2">
      <c r="B696" s="136"/>
    </row>
    <row r="697" spans="2:2" x14ac:dyDescent="0.2">
      <c r="B697" s="136"/>
    </row>
    <row r="698" spans="2:2" x14ac:dyDescent="0.2">
      <c r="B698" s="136"/>
    </row>
    <row r="699" spans="2:2" x14ac:dyDescent="0.2">
      <c r="B699" s="136"/>
    </row>
    <row r="700" spans="2:2" x14ac:dyDescent="0.2">
      <c r="B700" s="136"/>
    </row>
    <row r="701" spans="2:2" x14ac:dyDescent="0.2">
      <c r="B701" s="136"/>
    </row>
    <row r="702" spans="2:2" x14ac:dyDescent="0.2">
      <c r="B702" s="136"/>
    </row>
    <row r="703" spans="2:2" x14ac:dyDescent="0.2">
      <c r="B703" s="136"/>
    </row>
    <row r="704" spans="2:2" x14ac:dyDescent="0.2">
      <c r="B704" s="136"/>
    </row>
    <row r="705" spans="2:2" x14ac:dyDescent="0.2">
      <c r="B705" s="136"/>
    </row>
    <row r="706" spans="2:2" x14ac:dyDescent="0.2">
      <c r="B706" s="136"/>
    </row>
    <row r="707" spans="2:2" x14ac:dyDescent="0.2">
      <c r="B707" s="136"/>
    </row>
    <row r="708" spans="2:2" x14ac:dyDescent="0.2">
      <c r="B708" s="136"/>
    </row>
    <row r="709" spans="2:2" x14ac:dyDescent="0.2">
      <c r="B709" s="136"/>
    </row>
    <row r="710" spans="2:2" x14ac:dyDescent="0.2">
      <c r="B710" s="136"/>
    </row>
    <row r="711" spans="2:2" x14ac:dyDescent="0.2">
      <c r="B711" s="136"/>
    </row>
    <row r="712" spans="2:2" x14ac:dyDescent="0.2">
      <c r="B712" s="136"/>
    </row>
    <row r="713" spans="2:2" x14ac:dyDescent="0.2">
      <c r="B713" s="136"/>
    </row>
    <row r="714" spans="2:2" x14ac:dyDescent="0.2">
      <c r="B714" s="136"/>
    </row>
    <row r="715" spans="2:2" x14ac:dyDescent="0.2">
      <c r="B715" s="136"/>
    </row>
    <row r="716" spans="2:2" x14ac:dyDescent="0.2">
      <c r="B716" s="136"/>
    </row>
    <row r="717" spans="2:2" x14ac:dyDescent="0.2">
      <c r="B717" s="136"/>
    </row>
    <row r="718" spans="2:2" x14ac:dyDescent="0.2">
      <c r="B718" s="136"/>
    </row>
    <row r="719" spans="2:2" x14ac:dyDescent="0.2">
      <c r="B719" s="136"/>
    </row>
    <row r="720" spans="2:2" x14ac:dyDescent="0.2">
      <c r="B720" s="136"/>
    </row>
    <row r="721" spans="2:2" x14ac:dyDescent="0.2">
      <c r="B721" s="136"/>
    </row>
    <row r="722" spans="2:2" x14ac:dyDescent="0.2">
      <c r="B722" s="136"/>
    </row>
    <row r="723" spans="2:2" x14ac:dyDescent="0.2">
      <c r="B723" s="136"/>
    </row>
    <row r="724" spans="2:2" x14ac:dyDescent="0.2">
      <c r="B724" s="136"/>
    </row>
    <row r="725" spans="2:2" x14ac:dyDescent="0.2">
      <c r="B725" s="136"/>
    </row>
    <row r="726" spans="2:2" x14ac:dyDescent="0.2">
      <c r="B726" s="136"/>
    </row>
    <row r="727" spans="2:2" x14ac:dyDescent="0.2">
      <c r="B727" s="136"/>
    </row>
    <row r="728" spans="2:2" x14ac:dyDescent="0.2">
      <c r="B728" s="136"/>
    </row>
    <row r="729" spans="2:2" x14ac:dyDescent="0.2">
      <c r="B729" s="136"/>
    </row>
    <row r="730" spans="2:2" x14ac:dyDescent="0.2">
      <c r="B730" s="136"/>
    </row>
    <row r="731" spans="2:2" x14ac:dyDescent="0.2">
      <c r="B731" s="136"/>
    </row>
    <row r="732" spans="2:2" x14ac:dyDescent="0.2">
      <c r="B732" s="136"/>
    </row>
    <row r="733" spans="2:2" x14ac:dyDescent="0.2">
      <c r="B733" s="136"/>
    </row>
    <row r="734" spans="2:2" x14ac:dyDescent="0.2">
      <c r="B734" s="136"/>
    </row>
    <row r="735" spans="2:2" x14ac:dyDescent="0.2">
      <c r="B735" s="136"/>
    </row>
    <row r="736" spans="2:2" x14ac:dyDescent="0.2">
      <c r="B736" s="136"/>
    </row>
    <row r="737" spans="2:2" x14ac:dyDescent="0.2">
      <c r="B737" s="136"/>
    </row>
    <row r="738" spans="2:2" x14ac:dyDescent="0.2">
      <c r="B738" s="136"/>
    </row>
    <row r="739" spans="2:2" x14ac:dyDescent="0.2">
      <c r="B739" s="136"/>
    </row>
    <row r="740" spans="2:2" x14ac:dyDescent="0.2">
      <c r="B740" s="136"/>
    </row>
    <row r="741" spans="2:2" x14ac:dyDescent="0.2">
      <c r="B741" s="136"/>
    </row>
    <row r="742" spans="2:2" x14ac:dyDescent="0.2">
      <c r="B742" s="136"/>
    </row>
    <row r="743" spans="2:2" x14ac:dyDescent="0.2">
      <c r="B743" s="136"/>
    </row>
    <row r="744" spans="2:2" x14ac:dyDescent="0.2">
      <c r="B744" s="136"/>
    </row>
    <row r="745" spans="2:2" x14ac:dyDescent="0.2">
      <c r="B745" s="136"/>
    </row>
    <row r="746" spans="2:2" x14ac:dyDescent="0.2">
      <c r="B746" s="136"/>
    </row>
    <row r="747" spans="2:2" x14ac:dyDescent="0.2">
      <c r="B747" s="136"/>
    </row>
    <row r="748" spans="2:2" x14ac:dyDescent="0.2">
      <c r="B748" s="136"/>
    </row>
    <row r="749" spans="2:2" x14ac:dyDescent="0.2">
      <c r="B749" s="136"/>
    </row>
    <row r="750" spans="2:2" x14ac:dyDescent="0.2">
      <c r="B750" s="136"/>
    </row>
    <row r="751" spans="2:2" x14ac:dyDescent="0.2">
      <c r="B751" s="136"/>
    </row>
    <row r="752" spans="2:2" x14ac:dyDescent="0.2">
      <c r="B752" s="136"/>
    </row>
    <row r="753" spans="2:2" x14ac:dyDescent="0.2">
      <c r="B753" s="136"/>
    </row>
    <row r="754" spans="2:2" x14ac:dyDescent="0.2">
      <c r="B754" s="136"/>
    </row>
    <row r="755" spans="2:2" x14ac:dyDescent="0.2">
      <c r="B755" s="136"/>
    </row>
    <row r="756" spans="2:2" x14ac:dyDescent="0.2">
      <c r="B756" s="136"/>
    </row>
    <row r="757" spans="2:2" x14ac:dyDescent="0.2">
      <c r="B757" s="136"/>
    </row>
    <row r="758" spans="2:2" x14ac:dyDescent="0.2">
      <c r="B758" s="136"/>
    </row>
    <row r="759" spans="2:2" x14ac:dyDescent="0.2">
      <c r="B759" s="136"/>
    </row>
    <row r="760" spans="2:2" x14ac:dyDescent="0.2">
      <c r="B760" s="136"/>
    </row>
    <row r="761" spans="2:2" x14ac:dyDescent="0.2">
      <c r="B761" s="136"/>
    </row>
    <row r="762" spans="2:2" x14ac:dyDescent="0.2">
      <c r="B762" s="136"/>
    </row>
    <row r="763" spans="2:2" x14ac:dyDescent="0.2">
      <c r="B763" s="136"/>
    </row>
    <row r="764" spans="2:2" x14ac:dyDescent="0.2">
      <c r="B764" s="136"/>
    </row>
    <row r="765" spans="2:2" x14ac:dyDescent="0.2">
      <c r="B765" s="136"/>
    </row>
    <row r="766" spans="2:2" x14ac:dyDescent="0.2">
      <c r="B766" s="136"/>
    </row>
    <row r="767" spans="2:2" x14ac:dyDescent="0.2">
      <c r="B767" s="136"/>
    </row>
    <row r="768" spans="2:2" x14ac:dyDescent="0.2">
      <c r="B768" s="136"/>
    </row>
    <row r="769" spans="2:2" x14ac:dyDescent="0.2">
      <c r="B769" s="136"/>
    </row>
    <row r="770" spans="2:2" x14ac:dyDescent="0.2">
      <c r="B770" s="136"/>
    </row>
    <row r="771" spans="2:2" x14ac:dyDescent="0.2">
      <c r="B771" s="136"/>
    </row>
    <row r="772" spans="2:2" x14ac:dyDescent="0.2">
      <c r="B772" s="136"/>
    </row>
    <row r="773" spans="2:2" x14ac:dyDescent="0.2">
      <c r="B773" s="136"/>
    </row>
    <row r="774" spans="2:2" x14ac:dyDescent="0.2">
      <c r="B774" s="136"/>
    </row>
    <row r="775" spans="2:2" x14ac:dyDescent="0.2">
      <c r="B775" s="136"/>
    </row>
    <row r="776" spans="2:2" x14ac:dyDescent="0.2">
      <c r="B776" s="136"/>
    </row>
    <row r="777" spans="2:2" x14ac:dyDescent="0.2">
      <c r="B777" s="136"/>
    </row>
    <row r="778" spans="2:2" x14ac:dyDescent="0.2">
      <c r="B778" s="136"/>
    </row>
    <row r="779" spans="2:2" x14ac:dyDescent="0.2">
      <c r="B779" s="136"/>
    </row>
    <row r="780" spans="2:2" x14ac:dyDescent="0.2">
      <c r="B780" s="136"/>
    </row>
    <row r="781" spans="2:2" x14ac:dyDescent="0.2">
      <c r="B781" s="136"/>
    </row>
    <row r="782" spans="2:2" x14ac:dyDescent="0.2">
      <c r="B782" s="136"/>
    </row>
    <row r="783" spans="2:2" x14ac:dyDescent="0.2">
      <c r="B783" s="136"/>
    </row>
    <row r="784" spans="2:2" x14ac:dyDescent="0.2">
      <c r="B784" s="136"/>
    </row>
    <row r="785" spans="2:2" x14ac:dyDescent="0.2">
      <c r="B785" s="136"/>
    </row>
    <row r="786" spans="2:2" x14ac:dyDescent="0.2">
      <c r="B786" s="136"/>
    </row>
    <row r="787" spans="2:2" x14ac:dyDescent="0.2">
      <c r="B787" s="136"/>
    </row>
    <row r="788" spans="2:2" x14ac:dyDescent="0.2">
      <c r="B788" s="136"/>
    </row>
    <row r="789" spans="2:2" x14ac:dyDescent="0.2">
      <c r="B789" s="136"/>
    </row>
    <row r="790" spans="2:2" x14ac:dyDescent="0.2">
      <c r="B790" s="136"/>
    </row>
    <row r="791" spans="2:2" x14ac:dyDescent="0.2">
      <c r="B791" s="136"/>
    </row>
    <row r="792" spans="2:2" x14ac:dyDescent="0.2">
      <c r="B792" s="136"/>
    </row>
    <row r="793" spans="2:2" x14ac:dyDescent="0.2">
      <c r="B793" s="136"/>
    </row>
    <row r="794" spans="2:2" x14ac:dyDescent="0.2">
      <c r="B794" s="136"/>
    </row>
    <row r="795" spans="2:2" x14ac:dyDescent="0.2">
      <c r="B795" s="136"/>
    </row>
    <row r="796" spans="2:2" x14ac:dyDescent="0.2">
      <c r="B796" s="136"/>
    </row>
    <row r="797" spans="2:2" x14ac:dyDescent="0.2">
      <c r="B797" s="136"/>
    </row>
    <row r="798" spans="2:2" x14ac:dyDescent="0.2">
      <c r="B798" s="136"/>
    </row>
    <row r="799" spans="2:2" x14ac:dyDescent="0.2">
      <c r="B799" s="136"/>
    </row>
    <row r="800" spans="2:2" x14ac:dyDescent="0.2">
      <c r="B800" s="136"/>
    </row>
    <row r="801" spans="2:2" x14ac:dyDescent="0.2">
      <c r="B801" s="136"/>
    </row>
    <row r="802" spans="2:2" x14ac:dyDescent="0.2">
      <c r="B802" s="136"/>
    </row>
    <row r="803" spans="2:2" x14ac:dyDescent="0.2">
      <c r="B803" s="136"/>
    </row>
    <row r="804" spans="2:2" x14ac:dyDescent="0.2">
      <c r="B804" s="136"/>
    </row>
    <row r="805" spans="2:2" x14ac:dyDescent="0.2">
      <c r="B805" s="136"/>
    </row>
    <row r="806" spans="2:2" x14ac:dyDescent="0.2">
      <c r="B806" s="136"/>
    </row>
    <row r="807" spans="2:2" x14ac:dyDescent="0.2">
      <c r="B807" s="136"/>
    </row>
    <row r="808" spans="2:2" x14ac:dyDescent="0.2">
      <c r="B808" s="136"/>
    </row>
    <row r="809" spans="2:2" x14ac:dyDescent="0.2">
      <c r="B809" s="136"/>
    </row>
    <row r="810" spans="2:2" x14ac:dyDescent="0.2">
      <c r="B810" s="136"/>
    </row>
    <row r="811" spans="2:2" x14ac:dyDescent="0.2">
      <c r="B811" s="136"/>
    </row>
    <row r="812" spans="2:2" x14ac:dyDescent="0.2">
      <c r="B812" s="136"/>
    </row>
    <row r="813" spans="2:2" x14ac:dyDescent="0.2">
      <c r="B813" s="136"/>
    </row>
    <row r="814" spans="2:2" x14ac:dyDescent="0.2">
      <c r="B814" s="136"/>
    </row>
    <row r="815" spans="2:2" x14ac:dyDescent="0.2">
      <c r="B815" s="136"/>
    </row>
    <row r="816" spans="2:2" x14ac:dyDescent="0.2">
      <c r="B816" s="136"/>
    </row>
    <row r="817" spans="2:2" x14ac:dyDescent="0.2">
      <c r="B817" s="136"/>
    </row>
    <row r="818" spans="2:2" x14ac:dyDescent="0.2">
      <c r="B818" s="136"/>
    </row>
    <row r="819" spans="2:2" x14ac:dyDescent="0.2">
      <c r="B819" s="136"/>
    </row>
    <row r="820" spans="2:2" x14ac:dyDescent="0.2">
      <c r="B820" s="136"/>
    </row>
    <row r="821" spans="2:2" x14ac:dyDescent="0.2">
      <c r="B821" s="136"/>
    </row>
    <row r="822" spans="2:2" x14ac:dyDescent="0.2">
      <c r="B822" s="136"/>
    </row>
    <row r="823" spans="2:2" x14ac:dyDescent="0.2">
      <c r="B823" s="136"/>
    </row>
    <row r="824" spans="2:2" x14ac:dyDescent="0.2">
      <c r="B824" s="136"/>
    </row>
    <row r="825" spans="2:2" x14ac:dyDescent="0.2">
      <c r="B825" s="136"/>
    </row>
    <row r="826" spans="2:2" x14ac:dyDescent="0.2">
      <c r="B826" s="136"/>
    </row>
    <row r="827" spans="2:2" x14ac:dyDescent="0.2">
      <c r="B827" s="136"/>
    </row>
    <row r="828" spans="2:2" x14ac:dyDescent="0.2">
      <c r="B828" s="136"/>
    </row>
    <row r="829" spans="2:2" x14ac:dyDescent="0.2">
      <c r="B829" s="136"/>
    </row>
    <row r="830" spans="2:2" x14ac:dyDescent="0.2">
      <c r="B830" s="136"/>
    </row>
    <row r="831" spans="2:2" x14ac:dyDescent="0.2">
      <c r="B831" s="136"/>
    </row>
    <row r="832" spans="2:2" x14ac:dyDescent="0.2">
      <c r="B832" s="136"/>
    </row>
    <row r="833" spans="2:2" x14ac:dyDescent="0.2">
      <c r="B833" s="136"/>
    </row>
    <row r="834" spans="2:2" x14ac:dyDescent="0.2">
      <c r="B834" s="136"/>
    </row>
    <row r="835" spans="2:2" x14ac:dyDescent="0.2">
      <c r="B835" s="136"/>
    </row>
    <row r="836" spans="2:2" x14ac:dyDescent="0.2">
      <c r="B836" s="136"/>
    </row>
    <row r="837" spans="2:2" x14ac:dyDescent="0.2">
      <c r="B837" s="136"/>
    </row>
    <row r="838" spans="2:2" x14ac:dyDescent="0.2">
      <c r="B838" s="136"/>
    </row>
    <row r="839" spans="2:2" x14ac:dyDescent="0.2">
      <c r="B839" s="136"/>
    </row>
    <row r="840" spans="2:2" x14ac:dyDescent="0.2">
      <c r="B840" s="136"/>
    </row>
    <row r="841" spans="2:2" x14ac:dyDescent="0.2">
      <c r="B841" s="136"/>
    </row>
    <row r="842" spans="2:2" x14ac:dyDescent="0.2">
      <c r="B842" s="136"/>
    </row>
    <row r="843" spans="2:2" x14ac:dyDescent="0.2">
      <c r="B843" s="136"/>
    </row>
    <row r="844" spans="2:2" x14ac:dyDescent="0.2">
      <c r="B844" s="136"/>
    </row>
    <row r="845" spans="2:2" x14ac:dyDescent="0.2">
      <c r="B845" s="136"/>
    </row>
    <row r="846" spans="2:2" x14ac:dyDescent="0.2">
      <c r="B846" s="136"/>
    </row>
    <row r="847" spans="2:2" x14ac:dyDescent="0.2">
      <c r="B847" s="136"/>
    </row>
    <row r="848" spans="2:2" x14ac:dyDescent="0.2">
      <c r="B848" s="136"/>
    </row>
    <row r="849" spans="2:2" x14ac:dyDescent="0.2">
      <c r="B849" s="136"/>
    </row>
    <row r="850" spans="2:2" x14ac:dyDescent="0.2">
      <c r="B850" s="136"/>
    </row>
    <row r="851" spans="2:2" x14ac:dyDescent="0.2">
      <c r="B851" s="136"/>
    </row>
    <row r="852" spans="2:2" x14ac:dyDescent="0.2">
      <c r="B852" s="136"/>
    </row>
    <row r="853" spans="2:2" x14ac:dyDescent="0.2">
      <c r="B853" s="136"/>
    </row>
    <row r="854" spans="2:2" x14ac:dyDescent="0.2">
      <c r="B854" s="136"/>
    </row>
    <row r="855" spans="2:2" x14ac:dyDescent="0.2">
      <c r="B855" s="136"/>
    </row>
    <row r="856" spans="2:2" x14ac:dyDescent="0.2">
      <c r="B856" s="136"/>
    </row>
    <row r="857" spans="2:2" x14ac:dyDescent="0.2">
      <c r="B857" s="136"/>
    </row>
    <row r="858" spans="2:2" x14ac:dyDescent="0.2">
      <c r="B858" s="136"/>
    </row>
    <row r="859" spans="2:2" x14ac:dyDescent="0.2">
      <c r="B859" s="136"/>
    </row>
    <row r="860" spans="2:2" x14ac:dyDescent="0.2">
      <c r="B860" s="136"/>
    </row>
    <row r="861" spans="2:2" x14ac:dyDescent="0.2">
      <c r="B861" s="136"/>
    </row>
    <row r="862" spans="2:2" x14ac:dyDescent="0.2">
      <c r="B862" s="136"/>
    </row>
    <row r="863" spans="2:2" x14ac:dyDescent="0.2">
      <c r="B863" s="136"/>
    </row>
    <row r="864" spans="2:2" x14ac:dyDescent="0.2">
      <c r="B864" s="136"/>
    </row>
    <row r="865" spans="2:2" x14ac:dyDescent="0.2">
      <c r="B865" s="136"/>
    </row>
    <row r="866" spans="2:2" x14ac:dyDescent="0.2">
      <c r="B866" s="136"/>
    </row>
    <row r="867" spans="2:2" x14ac:dyDescent="0.2">
      <c r="B867" s="136"/>
    </row>
    <row r="868" spans="2:2" x14ac:dyDescent="0.2">
      <c r="B868" s="136"/>
    </row>
    <row r="869" spans="2:2" x14ac:dyDescent="0.2">
      <c r="B869" s="136"/>
    </row>
    <row r="870" spans="2:2" x14ac:dyDescent="0.2">
      <c r="B870" s="136"/>
    </row>
    <row r="871" spans="2:2" x14ac:dyDescent="0.2">
      <c r="B871" s="136"/>
    </row>
    <row r="872" spans="2:2" x14ac:dyDescent="0.2">
      <c r="B872" s="136"/>
    </row>
    <row r="873" spans="2:2" x14ac:dyDescent="0.2">
      <c r="B873" s="136"/>
    </row>
    <row r="874" spans="2:2" x14ac:dyDescent="0.2">
      <c r="B874" s="136"/>
    </row>
    <row r="875" spans="2:2" x14ac:dyDescent="0.2">
      <c r="B875" s="136"/>
    </row>
    <row r="876" spans="2:2" x14ac:dyDescent="0.2">
      <c r="B876" s="136"/>
    </row>
    <row r="877" spans="2:2" x14ac:dyDescent="0.2">
      <c r="B877" s="136"/>
    </row>
    <row r="878" spans="2:2" x14ac:dyDescent="0.2">
      <c r="B878" s="136"/>
    </row>
    <row r="879" spans="2:2" x14ac:dyDescent="0.2">
      <c r="B879" s="136"/>
    </row>
    <row r="880" spans="2:2" x14ac:dyDescent="0.2">
      <c r="B880" s="136"/>
    </row>
    <row r="881" spans="2:2" x14ac:dyDescent="0.2">
      <c r="B881" s="136"/>
    </row>
    <row r="882" spans="2:2" x14ac:dyDescent="0.2">
      <c r="B882" s="136"/>
    </row>
    <row r="883" spans="2:2" x14ac:dyDescent="0.2">
      <c r="B883" s="136"/>
    </row>
    <row r="884" spans="2:2" x14ac:dyDescent="0.2">
      <c r="B884" s="136"/>
    </row>
    <row r="885" spans="2:2" x14ac:dyDescent="0.2">
      <c r="B885" s="136"/>
    </row>
    <row r="886" spans="2:2" x14ac:dyDescent="0.2">
      <c r="B886" s="136"/>
    </row>
    <row r="887" spans="2:2" x14ac:dyDescent="0.2">
      <c r="B887" s="136"/>
    </row>
    <row r="888" spans="2:2" x14ac:dyDescent="0.2">
      <c r="B888" s="136"/>
    </row>
    <row r="889" spans="2:2" x14ac:dyDescent="0.2">
      <c r="B889" s="136"/>
    </row>
    <row r="890" spans="2:2" x14ac:dyDescent="0.2">
      <c r="B890" s="136"/>
    </row>
    <row r="891" spans="2:2" x14ac:dyDescent="0.2">
      <c r="B891" s="136"/>
    </row>
    <row r="892" spans="2:2" x14ac:dyDescent="0.2">
      <c r="B892" s="136"/>
    </row>
    <row r="893" spans="2:2" x14ac:dyDescent="0.2">
      <c r="B893" s="136"/>
    </row>
    <row r="894" spans="2:2" x14ac:dyDescent="0.2">
      <c r="B894" s="136"/>
    </row>
    <row r="895" spans="2:2" x14ac:dyDescent="0.2">
      <c r="B895" s="136"/>
    </row>
    <row r="896" spans="2:2" x14ac:dyDescent="0.2">
      <c r="B896" s="136"/>
    </row>
    <row r="897" spans="2:2" x14ac:dyDescent="0.2">
      <c r="B897" s="136"/>
    </row>
    <row r="898" spans="2:2" x14ac:dyDescent="0.2">
      <c r="B898" s="136"/>
    </row>
    <row r="899" spans="2:2" x14ac:dyDescent="0.2">
      <c r="B899" s="136"/>
    </row>
    <row r="900" spans="2:2" x14ac:dyDescent="0.2">
      <c r="B900" s="136"/>
    </row>
    <row r="901" spans="2:2" x14ac:dyDescent="0.2">
      <c r="B901" s="136"/>
    </row>
    <row r="902" spans="2:2" x14ac:dyDescent="0.2">
      <c r="B902" s="136"/>
    </row>
    <row r="903" spans="2:2" x14ac:dyDescent="0.2">
      <c r="B903" s="136"/>
    </row>
    <row r="904" spans="2:2" x14ac:dyDescent="0.2">
      <c r="B904" s="136"/>
    </row>
    <row r="905" spans="2:2" x14ac:dyDescent="0.2">
      <c r="B905" s="136"/>
    </row>
    <row r="906" spans="2:2" x14ac:dyDescent="0.2">
      <c r="B906" s="136"/>
    </row>
    <row r="907" spans="2:2" x14ac:dyDescent="0.2">
      <c r="B907" s="136"/>
    </row>
    <row r="908" spans="2:2" x14ac:dyDescent="0.2">
      <c r="B908" s="136"/>
    </row>
    <row r="909" spans="2:2" x14ac:dyDescent="0.2">
      <c r="B909" s="136"/>
    </row>
    <row r="910" spans="2:2" x14ac:dyDescent="0.2">
      <c r="B910" s="136"/>
    </row>
    <row r="911" spans="2:2" x14ac:dyDescent="0.2">
      <c r="B911" s="136"/>
    </row>
    <row r="912" spans="2:2" x14ac:dyDescent="0.2">
      <c r="B912" s="136"/>
    </row>
    <row r="913" spans="2:2" x14ac:dyDescent="0.2">
      <c r="B913" s="136"/>
    </row>
    <row r="914" spans="2:2" x14ac:dyDescent="0.2">
      <c r="B914" s="136"/>
    </row>
    <row r="915" spans="2:2" x14ac:dyDescent="0.2">
      <c r="B915" s="136"/>
    </row>
    <row r="916" spans="2:2" x14ac:dyDescent="0.2">
      <c r="B916" s="136"/>
    </row>
    <row r="917" spans="2:2" x14ac:dyDescent="0.2">
      <c r="B917" s="136"/>
    </row>
    <row r="918" spans="2:2" x14ac:dyDescent="0.2">
      <c r="B918" s="136"/>
    </row>
    <row r="919" spans="2:2" x14ac:dyDescent="0.2">
      <c r="B919" s="136"/>
    </row>
    <row r="920" spans="2:2" x14ac:dyDescent="0.2">
      <c r="B920" s="136"/>
    </row>
    <row r="921" spans="2:2" x14ac:dyDescent="0.2">
      <c r="B921" s="136"/>
    </row>
    <row r="922" spans="2:2" x14ac:dyDescent="0.2">
      <c r="B922" s="136"/>
    </row>
    <row r="923" spans="2:2" x14ac:dyDescent="0.2">
      <c r="B923" s="136"/>
    </row>
    <row r="924" spans="2:2" x14ac:dyDescent="0.2">
      <c r="B924" s="136"/>
    </row>
    <row r="925" spans="2:2" x14ac:dyDescent="0.2">
      <c r="B925" s="136"/>
    </row>
    <row r="926" spans="2:2" x14ac:dyDescent="0.2">
      <c r="B926" s="136"/>
    </row>
    <row r="927" spans="2:2" x14ac:dyDescent="0.2">
      <c r="B927" s="136"/>
    </row>
    <row r="928" spans="2:2" x14ac:dyDescent="0.2">
      <c r="B928" s="136"/>
    </row>
    <row r="929" spans="2:2" x14ac:dyDescent="0.2">
      <c r="B929" s="136"/>
    </row>
    <row r="930" spans="2:2" x14ac:dyDescent="0.2">
      <c r="B930" s="136"/>
    </row>
    <row r="931" spans="2:2" x14ac:dyDescent="0.2">
      <c r="B931" s="136"/>
    </row>
    <row r="932" spans="2:2" x14ac:dyDescent="0.2">
      <c r="B932" s="136"/>
    </row>
    <row r="933" spans="2:2" x14ac:dyDescent="0.2">
      <c r="B933" s="136"/>
    </row>
    <row r="934" spans="2:2" x14ac:dyDescent="0.2">
      <c r="B934" s="136"/>
    </row>
    <row r="935" spans="2:2" x14ac:dyDescent="0.2">
      <c r="B935" s="136"/>
    </row>
    <row r="936" spans="2:2" x14ac:dyDescent="0.2">
      <c r="B936" s="136"/>
    </row>
    <row r="937" spans="2:2" x14ac:dyDescent="0.2">
      <c r="B937" s="136"/>
    </row>
    <row r="938" spans="2:2" x14ac:dyDescent="0.2">
      <c r="B938" s="136"/>
    </row>
    <row r="939" spans="2:2" x14ac:dyDescent="0.2">
      <c r="B939" s="136"/>
    </row>
    <row r="940" spans="2:2" x14ac:dyDescent="0.2">
      <c r="B940" s="136"/>
    </row>
    <row r="941" spans="2:2" x14ac:dyDescent="0.2">
      <c r="B941" s="136"/>
    </row>
    <row r="942" spans="2:2" x14ac:dyDescent="0.2">
      <c r="B942" s="136"/>
    </row>
    <row r="943" spans="2:2" x14ac:dyDescent="0.2">
      <c r="B943" s="136"/>
    </row>
    <row r="944" spans="2:2" x14ac:dyDescent="0.2">
      <c r="B944" s="136"/>
    </row>
    <row r="945" spans="2:2" x14ac:dyDescent="0.2">
      <c r="B945" s="136"/>
    </row>
    <row r="946" spans="2:2" x14ac:dyDescent="0.2">
      <c r="B946" s="136"/>
    </row>
    <row r="947" spans="2:2" x14ac:dyDescent="0.2">
      <c r="B947" s="136"/>
    </row>
    <row r="948" spans="2:2" x14ac:dyDescent="0.2">
      <c r="B948" s="136"/>
    </row>
    <row r="949" spans="2:2" x14ac:dyDescent="0.2">
      <c r="B949" s="136"/>
    </row>
    <row r="950" spans="2:2" x14ac:dyDescent="0.2">
      <c r="B950" s="136"/>
    </row>
    <row r="951" spans="2:2" x14ac:dyDescent="0.2">
      <c r="B951" s="136"/>
    </row>
    <row r="952" spans="2:2" x14ac:dyDescent="0.2">
      <c r="B952" s="136"/>
    </row>
    <row r="953" spans="2:2" x14ac:dyDescent="0.2">
      <c r="B953" s="136"/>
    </row>
    <row r="954" spans="2:2" x14ac:dyDescent="0.2">
      <c r="B954" s="136"/>
    </row>
    <row r="955" spans="2:2" x14ac:dyDescent="0.2">
      <c r="B955" s="136"/>
    </row>
    <row r="956" spans="2:2" x14ac:dyDescent="0.2">
      <c r="B956" s="136"/>
    </row>
    <row r="957" spans="2:2" x14ac:dyDescent="0.2">
      <c r="B957" s="136"/>
    </row>
    <row r="958" spans="2:2" x14ac:dyDescent="0.2">
      <c r="B958" s="136"/>
    </row>
    <row r="959" spans="2:2" x14ac:dyDescent="0.2">
      <c r="B959" s="136"/>
    </row>
    <row r="960" spans="2:2" x14ac:dyDescent="0.2">
      <c r="B960" s="136"/>
    </row>
    <row r="961" spans="2:2" x14ac:dyDescent="0.2">
      <c r="B961" s="136"/>
    </row>
    <row r="962" spans="2:2" x14ac:dyDescent="0.2">
      <c r="B962" s="136"/>
    </row>
    <row r="963" spans="2:2" x14ac:dyDescent="0.2">
      <c r="B963" s="136"/>
    </row>
    <row r="964" spans="2:2" x14ac:dyDescent="0.2">
      <c r="B964" s="136"/>
    </row>
    <row r="965" spans="2:2" x14ac:dyDescent="0.2">
      <c r="B965" s="136"/>
    </row>
    <row r="966" spans="2:2" x14ac:dyDescent="0.2">
      <c r="B966" s="136"/>
    </row>
    <row r="967" spans="2:2" x14ac:dyDescent="0.2">
      <c r="B967" s="136"/>
    </row>
    <row r="968" spans="2:2" x14ac:dyDescent="0.2">
      <c r="B968" s="136"/>
    </row>
    <row r="969" spans="2:2" x14ac:dyDescent="0.2">
      <c r="B969" s="136"/>
    </row>
    <row r="970" spans="2:2" x14ac:dyDescent="0.2">
      <c r="B970" s="136"/>
    </row>
    <row r="971" spans="2:2" x14ac:dyDescent="0.2">
      <c r="B971" s="136"/>
    </row>
    <row r="972" spans="2:2" x14ac:dyDescent="0.2">
      <c r="B972" s="136"/>
    </row>
    <row r="973" spans="2:2" x14ac:dyDescent="0.2">
      <c r="B973" s="136"/>
    </row>
    <row r="974" spans="2:2" x14ac:dyDescent="0.2">
      <c r="B974" s="136"/>
    </row>
    <row r="975" spans="2:2" x14ac:dyDescent="0.2">
      <c r="B975" s="136"/>
    </row>
    <row r="976" spans="2:2" x14ac:dyDescent="0.2">
      <c r="B976" s="136"/>
    </row>
    <row r="977" spans="2:2" x14ac:dyDescent="0.2">
      <c r="B977" s="136"/>
    </row>
    <row r="978" spans="2:2" x14ac:dyDescent="0.2">
      <c r="B978" s="136"/>
    </row>
    <row r="979" spans="2:2" x14ac:dyDescent="0.2">
      <c r="B979" s="136"/>
    </row>
    <row r="980" spans="2:2" x14ac:dyDescent="0.2">
      <c r="B980" s="136"/>
    </row>
    <row r="981" spans="2:2" x14ac:dyDescent="0.2">
      <c r="B981" s="136"/>
    </row>
    <row r="982" spans="2:2" x14ac:dyDescent="0.2">
      <c r="B982" s="136"/>
    </row>
    <row r="983" spans="2:2" x14ac:dyDescent="0.2">
      <c r="B983" s="136"/>
    </row>
    <row r="984" spans="2:2" x14ac:dyDescent="0.2">
      <c r="B984" s="136"/>
    </row>
    <row r="985" spans="2:2" x14ac:dyDescent="0.2">
      <c r="B985" s="136"/>
    </row>
    <row r="986" spans="2:2" x14ac:dyDescent="0.2">
      <c r="B986" s="136"/>
    </row>
    <row r="987" spans="2:2" x14ac:dyDescent="0.2">
      <c r="B987" s="136"/>
    </row>
    <row r="988" spans="2:2" x14ac:dyDescent="0.2">
      <c r="B988" s="136"/>
    </row>
    <row r="989" spans="2:2" x14ac:dyDescent="0.2">
      <c r="B989" s="136"/>
    </row>
    <row r="990" spans="2:2" x14ac:dyDescent="0.2">
      <c r="B990" s="136"/>
    </row>
    <row r="991" spans="2:2" x14ac:dyDescent="0.2">
      <c r="B991" s="136"/>
    </row>
    <row r="992" spans="2:2" x14ac:dyDescent="0.2">
      <c r="B992" s="136"/>
    </row>
    <row r="993" spans="2:2" x14ac:dyDescent="0.2">
      <c r="B993" s="136"/>
    </row>
    <row r="994" spans="2:2" x14ac:dyDescent="0.2">
      <c r="B994" s="136"/>
    </row>
    <row r="995" spans="2:2" x14ac:dyDescent="0.2">
      <c r="B995" s="136"/>
    </row>
    <row r="996" spans="2:2" x14ac:dyDescent="0.2">
      <c r="B996" s="136"/>
    </row>
    <row r="997" spans="2:2" x14ac:dyDescent="0.2">
      <c r="B997" s="136"/>
    </row>
    <row r="998" spans="2:2" x14ac:dyDescent="0.2">
      <c r="B998" s="136"/>
    </row>
    <row r="999" spans="2:2" x14ac:dyDescent="0.2">
      <c r="B999" s="136"/>
    </row>
    <row r="1000" spans="2:2" x14ac:dyDescent="0.2">
      <c r="B1000" s="136"/>
    </row>
    <row r="1001" spans="2:2" x14ac:dyDescent="0.2">
      <c r="B1001" s="136"/>
    </row>
    <row r="1002" spans="2:2" x14ac:dyDescent="0.2">
      <c r="B1002" s="136"/>
    </row>
    <row r="1003" spans="2:2" x14ac:dyDescent="0.2">
      <c r="B1003" s="136"/>
    </row>
    <row r="1004" spans="2:2" x14ac:dyDescent="0.2">
      <c r="B1004" s="136"/>
    </row>
    <row r="1005" spans="2:2" x14ac:dyDescent="0.2">
      <c r="B1005" s="136"/>
    </row>
    <row r="1006" spans="2:2" x14ac:dyDescent="0.2">
      <c r="B1006" s="136"/>
    </row>
    <row r="1007" spans="2:2" x14ac:dyDescent="0.2">
      <c r="B1007" s="136"/>
    </row>
    <row r="1008" spans="2:2" x14ac:dyDescent="0.2">
      <c r="B1008" s="136"/>
    </row>
    <row r="1009" spans="2:2" x14ac:dyDescent="0.2">
      <c r="B1009" s="136"/>
    </row>
    <row r="1010" spans="2:2" x14ac:dyDescent="0.2">
      <c r="B1010" s="136"/>
    </row>
    <row r="1011" spans="2:2" x14ac:dyDescent="0.2">
      <c r="B1011" s="136"/>
    </row>
    <row r="1012" spans="2:2" x14ac:dyDescent="0.2">
      <c r="B1012" s="136"/>
    </row>
    <row r="1013" spans="2:2" x14ac:dyDescent="0.2">
      <c r="B1013" s="136"/>
    </row>
    <row r="1014" spans="2:2" x14ac:dyDescent="0.2">
      <c r="B1014" s="136"/>
    </row>
    <row r="1015" spans="2:2" x14ac:dyDescent="0.2">
      <c r="B1015" s="136"/>
    </row>
    <row r="1016" spans="2:2" x14ac:dyDescent="0.2">
      <c r="B1016" s="136"/>
    </row>
    <row r="1017" spans="2:2" x14ac:dyDescent="0.2">
      <c r="B1017" s="136"/>
    </row>
    <row r="1018" spans="2:2" x14ac:dyDescent="0.2">
      <c r="B1018" s="136"/>
    </row>
    <row r="1019" spans="2:2" x14ac:dyDescent="0.2">
      <c r="B1019" s="136"/>
    </row>
    <row r="1020" spans="2:2" x14ac:dyDescent="0.2">
      <c r="B1020" s="136"/>
    </row>
    <row r="1021" spans="2:2" x14ac:dyDescent="0.2">
      <c r="B1021" s="136"/>
    </row>
    <row r="1022" spans="2:2" x14ac:dyDescent="0.2">
      <c r="B1022" s="136"/>
    </row>
    <row r="1023" spans="2:2" x14ac:dyDescent="0.2">
      <c r="B1023" s="136"/>
    </row>
    <row r="1024" spans="2:2" x14ac:dyDescent="0.2">
      <c r="B1024" s="136"/>
    </row>
    <row r="1025" spans="2:2" x14ac:dyDescent="0.2">
      <c r="B1025" s="136"/>
    </row>
    <row r="1026" spans="2:2" x14ac:dyDescent="0.2">
      <c r="B1026" s="136"/>
    </row>
    <row r="1027" spans="2:2" x14ac:dyDescent="0.2">
      <c r="B1027" s="136"/>
    </row>
    <row r="1028" spans="2:2" x14ac:dyDescent="0.2">
      <c r="B1028" s="136"/>
    </row>
    <row r="1029" spans="2:2" x14ac:dyDescent="0.2">
      <c r="B1029" s="136"/>
    </row>
    <row r="1030" spans="2:2" x14ac:dyDescent="0.2">
      <c r="B1030" s="136"/>
    </row>
    <row r="1031" spans="2:2" x14ac:dyDescent="0.2">
      <c r="B1031" s="136"/>
    </row>
    <row r="1032" spans="2:2" x14ac:dyDescent="0.2">
      <c r="B1032" s="136"/>
    </row>
    <row r="1033" spans="2:2" x14ac:dyDescent="0.2">
      <c r="B1033" s="136"/>
    </row>
    <row r="1034" spans="2:2" x14ac:dyDescent="0.2">
      <c r="B1034" s="136"/>
    </row>
    <row r="1035" spans="2:2" x14ac:dyDescent="0.2">
      <c r="B1035" s="136"/>
    </row>
    <row r="1036" spans="2:2" x14ac:dyDescent="0.2">
      <c r="B1036" s="136"/>
    </row>
    <row r="1037" spans="2:2" x14ac:dyDescent="0.2">
      <c r="B1037" s="136"/>
    </row>
    <row r="1038" spans="2:2" x14ac:dyDescent="0.2">
      <c r="B1038" s="136"/>
    </row>
    <row r="1039" spans="2:2" x14ac:dyDescent="0.2">
      <c r="B1039" s="136"/>
    </row>
    <row r="1040" spans="2:2" x14ac:dyDescent="0.2">
      <c r="B1040" s="136"/>
    </row>
    <row r="1041" spans="2:2" x14ac:dyDescent="0.2">
      <c r="B1041" s="136"/>
    </row>
    <row r="1042" spans="2:2" x14ac:dyDescent="0.2">
      <c r="B1042" s="136"/>
    </row>
    <row r="1043" spans="2:2" x14ac:dyDescent="0.2">
      <c r="B1043" s="136"/>
    </row>
    <row r="1044" spans="2:2" x14ac:dyDescent="0.2">
      <c r="B1044" s="136"/>
    </row>
    <row r="1045" spans="2:2" x14ac:dyDescent="0.2">
      <c r="B1045" s="136"/>
    </row>
    <row r="1046" spans="2:2" x14ac:dyDescent="0.2">
      <c r="B1046" s="136"/>
    </row>
    <row r="1047" spans="2:2" x14ac:dyDescent="0.2">
      <c r="B1047" s="136"/>
    </row>
    <row r="1048" spans="2:2" x14ac:dyDescent="0.2">
      <c r="B1048" s="136"/>
    </row>
    <row r="1049" spans="2:2" x14ac:dyDescent="0.2">
      <c r="B1049" s="136"/>
    </row>
    <row r="1050" spans="2:2" x14ac:dyDescent="0.2">
      <c r="B1050" s="136"/>
    </row>
    <row r="1051" spans="2:2" x14ac:dyDescent="0.2">
      <c r="B1051" s="136"/>
    </row>
    <row r="1052" spans="2:2" x14ac:dyDescent="0.2">
      <c r="B1052" s="136"/>
    </row>
    <row r="1053" spans="2:2" x14ac:dyDescent="0.2">
      <c r="B1053" s="136"/>
    </row>
    <row r="1054" spans="2:2" x14ac:dyDescent="0.2">
      <c r="B1054" s="136"/>
    </row>
    <row r="1055" spans="2:2" x14ac:dyDescent="0.2">
      <c r="B1055" s="136"/>
    </row>
    <row r="1056" spans="2:2" x14ac:dyDescent="0.2">
      <c r="B1056" s="136"/>
    </row>
    <row r="1057" spans="2:2" x14ac:dyDescent="0.2">
      <c r="B1057" s="136"/>
    </row>
    <row r="1058" spans="2:2" x14ac:dyDescent="0.2">
      <c r="B1058" s="136"/>
    </row>
    <row r="1059" spans="2:2" x14ac:dyDescent="0.2">
      <c r="B1059" s="136"/>
    </row>
    <row r="1060" spans="2:2" x14ac:dyDescent="0.2">
      <c r="B1060" s="136"/>
    </row>
    <row r="1061" spans="2:2" x14ac:dyDescent="0.2">
      <c r="B1061" s="136"/>
    </row>
    <row r="1062" spans="2:2" x14ac:dyDescent="0.2">
      <c r="B1062" s="136"/>
    </row>
    <row r="1063" spans="2:2" x14ac:dyDescent="0.2">
      <c r="B1063" s="136"/>
    </row>
    <row r="1064" spans="2:2" x14ac:dyDescent="0.2">
      <c r="B1064" s="136"/>
    </row>
    <row r="1065" spans="2:2" x14ac:dyDescent="0.2">
      <c r="B1065" s="136"/>
    </row>
    <row r="1066" spans="2:2" x14ac:dyDescent="0.2">
      <c r="B1066" s="136"/>
    </row>
    <row r="1067" spans="2:2" x14ac:dyDescent="0.2">
      <c r="B1067" s="136"/>
    </row>
    <row r="1068" spans="2:2" x14ac:dyDescent="0.2">
      <c r="B1068" s="136"/>
    </row>
    <row r="1069" spans="2:2" x14ac:dyDescent="0.2">
      <c r="B1069" s="136"/>
    </row>
    <row r="1070" spans="2:2" x14ac:dyDescent="0.2">
      <c r="B1070" s="136"/>
    </row>
    <row r="1071" spans="2:2" x14ac:dyDescent="0.2">
      <c r="B1071" s="136"/>
    </row>
    <row r="1072" spans="2:2" x14ac:dyDescent="0.2">
      <c r="B1072" s="136"/>
    </row>
    <row r="1073" spans="2:2" x14ac:dyDescent="0.2">
      <c r="B1073" s="136"/>
    </row>
    <row r="1074" spans="2:2" x14ac:dyDescent="0.2">
      <c r="B1074" s="136"/>
    </row>
    <row r="1075" spans="2:2" x14ac:dyDescent="0.2">
      <c r="B1075" s="136"/>
    </row>
    <row r="1076" spans="2:2" x14ac:dyDescent="0.2">
      <c r="B1076" s="136"/>
    </row>
    <row r="1077" spans="2:2" x14ac:dyDescent="0.2">
      <c r="B1077" s="136"/>
    </row>
    <row r="1078" spans="2:2" x14ac:dyDescent="0.2">
      <c r="B1078" s="136"/>
    </row>
    <row r="1079" spans="2:2" x14ac:dyDescent="0.2">
      <c r="B1079" s="136"/>
    </row>
    <row r="1080" spans="2:2" x14ac:dyDescent="0.2">
      <c r="B1080" s="136"/>
    </row>
    <row r="1081" spans="2:2" x14ac:dyDescent="0.2">
      <c r="B1081" s="136"/>
    </row>
    <row r="1082" spans="2:2" x14ac:dyDescent="0.2">
      <c r="B1082" s="136"/>
    </row>
    <row r="1083" spans="2:2" x14ac:dyDescent="0.2">
      <c r="B1083" s="136"/>
    </row>
    <row r="1084" spans="2:2" x14ac:dyDescent="0.2">
      <c r="B1084" s="136"/>
    </row>
    <row r="1085" spans="2:2" x14ac:dyDescent="0.2">
      <c r="B1085" s="136"/>
    </row>
    <row r="1086" spans="2:2" x14ac:dyDescent="0.2">
      <c r="B1086" s="136"/>
    </row>
    <row r="1087" spans="2:2" x14ac:dyDescent="0.2">
      <c r="B1087" s="136"/>
    </row>
    <row r="1088" spans="2:2" x14ac:dyDescent="0.2">
      <c r="B1088" s="136"/>
    </row>
    <row r="1089" spans="2:2" x14ac:dyDescent="0.2">
      <c r="B1089" s="136"/>
    </row>
    <row r="1090" spans="2:2" x14ac:dyDescent="0.2">
      <c r="B1090" s="136"/>
    </row>
    <row r="1091" spans="2:2" x14ac:dyDescent="0.2">
      <c r="B1091" s="136"/>
    </row>
    <row r="1092" spans="2:2" x14ac:dyDescent="0.2">
      <c r="B1092" s="136"/>
    </row>
    <row r="1093" spans="2:2" x14ac:dyDescent="0.2">
      <c r="B1093" s="136"/>
    </row>
    <row r="1094" spans="2:2" x14ac:dyDescent="0.2">
      <c r="B1094" s="136"/>
    </row>
    <row r="1095" spans="2:2" x14ac:dyDescent="0.2">
      <c r="B1095" s="136"/>
    </row>
    <row r="1096" spans="2:2" x14ac:dyDescent="0.2">
      <c r="B1096" s="136"/>
    </row>
    <row r="1097" spans="2:2" x14ac:dyDescent="0.2">
      <c r="B1097" s="136"/>
    </row>
    <row r="1098" spans="2:2" x14ac:dyDescent="0.2">
      <c r="B1098" s="136"/>
    </row>
    <row r="1099" spans="2:2" x14ac:dyDescent="0.2">
      <c r="B1099" s="136"/>
    </row>
    <row r="1100" spans="2:2" x14ac:dyDescent="0.2">
      <c r="B1100" s="136"/>
    </row>
    <row r="1101" spans="2:2" x14ac:dyDescent="0.2">
      <c r="B1101" s="136"/>
    </row>
    <row r="1102" spans="2:2" x14ac:dyDescent="0.2">
      <c r="B1102" s="136"/>
    </row>
    <row r="1103" spans="2:2" x14ac:dyDescent="0.2">
      <c r="B1103" s="136"/>
    </row>
    <row r="1104" spans="2:2" x14ac:dyDescent="0.2">
      <c r="B1104" s="136"/>
    </row>
    <row r="1105" spans="2:2" x14ac:dyDescent="0.2">
      <c r="B1105" s="136"/>
    </row>
    <row r="1106" spans="2:2" x14ac:dyDescent="0.2">
      <c r="B1106" s="136"/>
    </row>
    <row r="1107" spans="2:2" x14ac:dyDescent="0.2">
      <c r="B1107" s="136"/>
    </row>
    <row r="1108" spans="2:2" x14ac:dyDescent="0.2">
      <c r="B1108" s="136"/>
    </row>
    <row r="1109" spans="2:2" x14ac:dyDescent="0.2">
      <c r="B1109" s="136"/>
    </row>
    <row r="1110" spans="2:2" x14ac:dyDescent="0.2">
      <c r="B1110" s="136"/>
    </row>
    <row r="1111" spans="2:2" x14ac:dyDescent="0.2">
      <c r="B1111" s="136"/>
    </row>
    <row r="1112" spans="2:2" x14ac:dyDescent="0.2">
      <c r="B1112" s="136"/>
    </row>
    <row r="1113" spans="2:2" x14ac:dyDescent="0.2">
      <c r="B1113" s="136"/>
    </row>
    <row r="1114" spans="2:2" x14ac:dyDescent="0.2">
      <c r="B1114" s="136"/>
    </row>
    <row r="1115" spans="2:2" x14ac:dyDescent="0.2">
      <c r="B1115" s="136"/>
    </row>
    <row r="1116" spans="2:2" x14ac:dyDescent="0.2">
      <c r="B1116" s="136"/>
    </row>
    <row r="1117" spans="2:2" x14ac:dyDescent="0.2">
      <c r="B1117" s="136"/>
    </row>
    <row r="1118" spans="2:2" x14ac:dyDescent="0.2">
      <c r="B1118" s="136"/>
    </row>
    <row r="1119" spans="2:2" x14ac:dyDescent="0.2">
      <c r="B1119" s="136"/>
    </row>
    <row r="1120" spans="2:2" x14ac:dyDescent="0.2">
      <c r="B1120" s="136"/>
    </row>
    <row r="1121" spans="2:2" x14ac:dyDescent="0.2">
      <c r="B1121" s="136"/>
    </row>
    <row r="1122" spans="2:2" x14ac:dyDescent="0.2">
      <c r="B1122" s="136"/>
    </row>
    <row r="1123" spans="2:2" x14ac:dyDescent="0.2">
      <c r="B1123" s="136"/>
    </row>
    <row r="1124" spans="2:2" x14ac:dyDescent="0.2">
      <c r="B1124" s="136"/>
    </row>
    <row r="1125" spans="2:2" x14ac:dyDescent="0.2">
      <c r="B1125" s="136"/>
    </row>
    <row r="1126" spans="2:2" x14ac:dyDescent="0.2">
      <c r="B1126" s="136"/>
    </row>
    <row r="1127" spans="2:2" x14ac:dyDescent="0.2">
      <c r="B1127" s="136"/>
    </row>
    <row r="1128" spans="2:2" x14ac:dyDescent="0.2">
      <c r="B1128" s="136"/>
    </row>
    <row r="1129" spans="2:2" x14ac:dyDescent="0.2">
      <c r="B1129" s="136"/>
    </row>
    <row r="1130" spans="2:2" x14ac:dyDescent="0.2">
      <c r="B1130" s="136"/>
    </row>
    <row r="1131" spans="2:2" x14ac:dyDescent="0.2">
      <c r="B1131" s="136"/>
    </row>
    <row r="1132" spans="2:2" x14ac:dyDescent="0.2">
      <c r="B1132" s="136"/>
    </row>
    <row r="1133" spans="2:2" x14ac:dyDescent="0.2">
      <c r="B1133" s="136"/>
    </row>
    <row r="1134" spans="2:2" x14ac:dyDescent="0.2">
      <c r="B1134" s="136"/>
    </row>
    <row r="1135" spans="2:2" x14ac:dyDescent="0.2">
      <c r="B1135" s="136"/>
    </row>
    <row r="1136" spans="2:2" x14ac:dyDescent="0.2">
      <c r="B1136" s="136"/>
    </row>
    <row r="1137" spans="2:2" x14ac:dyDescent="0.2">
      <c r="B1137" s="136"/>
    </row>
    <row r="1138" spans="2:2" x14ac:dyDescent="0.2">
      <c r="B1138" s="136"/>
    </row>
    <row r="1139" spans="2:2" x14ac:dyDescent="0.2">
      <c r="B1139" s="136"/>
    </row>
    <row r="1140" spans="2:2" x14ac:dyDescent="0.2">
      <c r="B1140" s="136"/>
    </row>
    <row r="1141" spans="2:2" x14ac:dyDescent="0.2">
      <c r="B1141" s="136"/>
    </row>
    <row r="1142" spans="2:2" x14ac:dyDescent="0.2">
      <c r="B1142" s="136"/>
    </row>
    <row r="1143" spans="2:2" x14ac:dyDescent="0.2">
      <c r="B1143" s="136"/>
    </row>
    <row r="1144" spans="2:2" x14ac:dyDescent="0.2">
      <c r="B1144" s="136"/>
    </row>
    <row r="1145" spans="2:2" x14ac:dyDescent="0.2">
      <c r="B1145" s="136"/>
    </row>
    <row r="1146" spans="2:2" x14ac:dyDescent="0.2">
      <c r="B1146" s="136"/>
    </row>
    <row r="1147" spans="2:2" x14ac:dyDescent="0.2">
      <c r="B1147" s="136"/>
    </row>
    <row r="1148" spans="2:2" x14ac:dyDescent="0.2">
      <c r="B1148" s="136"/>
    </row>
    <row r="1149" spans="2:2" x14ac:dyDescent="0.2">
      <c r="B1149" s="136"/>
    </row>
    <row r="1150" spans="2:2" x14ac:dyDescent="0.2">
      <c r="B1150" s="136"/>
    </row>
    <row r="1151" spans="2:2" x14ac:dyDescent="0.2">
      <c r="B1151" s="136"/>
    </row>
    <row r="1152" spans="2:2" x14ac:dyDescent="0.2">
      <c r="B1152" s="136"/>
    </row>
    <row r="1153" spans="2:2" x14ac:dyDescent="0.2">
      <c r="B1153" s="136"/>
    </row>
    <row r="1154" spans="2:2" x14ac:dyDescent="0.2">
      <c r="B1154" s="136"/>
    </row>
    <row r="1155" spans="2:2" x14ac:dyDescent="0.2">
      <c r="B1155" s="136"/>
    </row>
    <row r="1156" spans="2:2" x14ac:dyDescent="0.2">
      <c r="B1156" s="136"/>
    </row>
    <row r="1157" spans="2:2" x14ac:dyDescent="0.2">
      <c r="B1157" s="136"/>
    </row>
    <row r="1158" spans="2:2" x14ac:dyDescent="0.2">
      <c r="B1158" s="136"/>
    </row>
    <row r="1159" spans="2:2" x14ac:dyDescent="0.2">
      <c r="B1159" s="136"/>
    </row>
    <row r="1160" spans="2:2" x14ac:dyDescent="0.2">
      <c r="B1160" s="136"/>
    </row>
    <row r="1161" spans="2:2" x14ac:dyDescent="0.2">
      <c r="B1161" s="136"/>
    </row>
    <row r="1162" spans="2:2" x14ac:dyDescent="0.2">
      <c r="B1162" s="136"/>
    </row>
    <row r="1163" spans="2:2" x14ac:dyDescent="0.2">
      <c r="B1163" s="136"/>
    </row>
    <row r="1164" spans="2:2" x14ac:dyDescent="0.2">
      <c r="B1164" s="136"/>
    </row>
    <row r="1165" spans="2:2" x14ac:dyDescent="0.2">
      <c r="B1165" s="136"/>
    </row>
    <row r="1166" spans="2:2" x14ac:dyDescent="0.2">
      <c r="B1166" s="136"/>
    </row>
    <row r="1167" spans="2:2" x14ac:dyDescent="0.2">
      <c r="B1167" s="136"/>
    </row>
    <row r="1168" spans="2:2" x14ac:dyDescent="0.2">
      <c r="B1168" s="136"/>
    </row>
    <row r="1169" spans="2:2" x14ac:dyDescent="0.2">
      <c r="B1169" s="136"/>
    </row>
    <row r="1170" spans="2:2" x14ac:dyDescent="0.2">
      <c r="B1170" s="136"/>
    </row>
    <row r="1171" spans="2:2" x14ac:dyDescent="0.2">
      <c r="B1171" s="136"/>
    </row>
    <row r="1172" spans="2:2" x14ac:dyDescent="0.2">
      <c r="B1172" s="136"/>
    </row>
    <row r="1173" spans="2:2" x14ac:dyDescent="0.2">
      <c r="B1173" s="136"/>
    </row>
    <row r="1174" spans="2:2" x14ac:dyDescent="0.2">
      <c r="B1174" s="136"/>
    </row>
    <row r="1175" spans="2:2" x14ac:dyDescent="0.2">
      <c r="B1175" s="136"/>
    </row>
    <row r="1176" spans="2:2" x14ac:dyDescent="0.2">
      <c r="B1176" s="136"/>
    </row>
    <row r="1177" spans="2:2" x14ac:dyDescent="0.2">
      <c r="B1177" s="136"/>
    </row>
    <row r="1178" spans="2:2" x14ac:dyDescent="0.2">
      <c r="B1178" s="136"/>
    </row>
    <row r="1179" spans="2:2" x14ac:dyDescent="0.2">
      <c r="B1179" s="36"/>
    </row>
  </sheetData>
  <sheetProtection sheet="1" objects="1" scenarios="1"/>
  <protectedRanges>
    <protectedRange sqref="B1" name="Range1"/>
    <protectedRange sqref="B2" name="Range2"/>
  </protectedRange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9960-FC30-485A-9DB4-B14C7B275784}">
  <sheetPr>
    <tabColor theme="1" tint="0.499984740745262"/>
  </sheetPr>
  <dimension ref="A1:G1165"/>
  <sheetViews>
    <sheetView topLeftCell="A22" zoomScale="110" zoomScaleNormal="110" workbookViewId="0">
      <selection activeCell="B169" sqref="B169"/>
    </sheetView>
  </sheetViews>
  <sheetFormatPr defaultColWidth="14.390625" defaultRowHeight="15" x14ac:dyDescent="0.2"/>
  <cols>
    <col min="1" max="1" width="60.66796875" style="27" customWidth="1"/>
    <col min="2" max="2" width="60.66796875" style="28" customWidth="1"/>
    <col min="3" max="3" width="60.66796875" style="25" customWidth="1"/>
    <col min="4" max="4" width="60.66796875" style="37" customWidth="1"/>
    <col min="5" max="5" width="60.66796875" style="165" customWidth="1"/>
    <col min="6" max="6" width="54.8828125" style="165" customWidth="1"/>
    <col min="7" max="19" width="10.89453125" style="165" customWidth="1"/>
    <col min="20" max="16384" width="14.390625" style="165"/>
  </cols>
  <sheetData>
    <row r="1" spans="1:7" x14ac:dyDescent="0.2">
      <c r="A1" s="107" t="s">
        <v>0</v>
      </c>
      <c r="B1" s="58">
        <v>2</v>
      </c>
      <c r="D1" s="31"/>
      <c r="E1" s="41"/>
      <c r="F1" s="27"/>
      <c r="G1" s="171"/>
    </row>
    <row r="2" spans="1:7" x14ac:dyDescent="0.2">
      <c r="A2" s="108" t="s">
        <v>1</v>
      </c>
      <c r="B2" s="105">
        <v>14.3</v>
      </c>
      <c r="D2" s="33"/>
      <c r="E2" s="49"/>
      <c r="F2" s="27"/>
      <c r="G2" s="171"/>
    </row>
    <row r="3" spans="1:7" x14ac:dyDescent="0.2">
      <c r="A3" s="170" t="s">
        <v>2</v>
      </c>
      <c r="B3" s="60"/>
      <c r="C3" s="40"/>
      <c r="D3" s="61" t="s">
        <v>3</v>
      </c>
      <c r="E3" s="50"/>
      <c r="F3" s="59" t="s">
        <v>4</v>
      </c>
      <c r="G3" s="27"/>
    </row>
    <row r="4" spans="1:7" ht="27.75" x14ac:dyDescent="0.2">
      <c r="A4" s="109" t="s">
        <v>5</v>
      </c>
      <c r="B4" s="28" t="str">
        <f>"Tomar " &amp; ROUND(IF((B2*50)&lt;=1750, IF(((B2*50)/3)/(250/5)&lt;=12, ((B2*50)/3)/(250/5), 10), IF((1750/3)/(250/5)&lt;=12, (1750/3)/(250/5), 10)), 1) &amp; " mL por via oral de 8/8 horas por 7 a 10 dias."</f>
        <v>Tomar 4,8 mL por via oral de 8/8 horas por 7 a 10 dias.</v>
      </c>
      <c r="C4" s="39"/>
      <c r="D4" s="62" t="s">
        <v>6</v>
      </c>
      <c r="E4" s="53" t="str">
        <f>IF(B1&lt;0.9,"Administrar "&amp;ROUNDUP(B2*0.3,1)&amp;" mL por via oral de 24/24 horas. Por 10 dias.",IF(AND(B1&gt;=0.9,B1&lt;=0.11),"Administrar "&amp;ROUNDUP(B2*0.35,1)&amp;" mL por via oral de 24/24 horas. Por 10 dias.",IF(B1&gt;=1,IF(B2&lt;=15,"Administrar 3 mL por via oral de 24/24 horas. Por 10 dias.",IF(AND(B2&gt;15,B2&lt;=23),"Administrar 4,5 mL por via oral de 24/24 horas. Por 10 dias.",IF(AND(B2&gt;23,B2&lt;=40),"Administrar 6 mL por via oral de 24/24 horas. Por 10 dias.","Administrar 7,5 mL por via oral de 24/24 horas. Por 10 dias."))))))</f>
        <v>Administrar 3 mL por via oral de 24/24 horas. Por 10 dias.</v>
      </c>
      <c r="F4" s="51" t="s">
        <v>7</v>
      </c>
      <c r="G4" s="27"/>
    </row>
    <row r="5" spans="1:7" ht="41.25" x14ac:dyDescent="0.2">
      <c r="A5" s="57" t="s">
        <v>8</v>
      </c>
      <c r="B5" s="28" t="str">
        <f>"Tomar " &amp; ROUND(IF((B2*50)&lt;=1750, IF(((B2*50)/3)/(400/5)&lt;=12, ((B2*50)/3)/(400/5), 10), IF((1750/3)/(400/5)&lt;=12, (1750/3)/(400/5), 10)), 1) &amp; " mL por via oral de 8/8 horas por 7 a 10 dias."</f>
        <v>Tomar 3 mL por via oral de 8/8 horas por 7 a 10 dias.</v>
      </c>
      <c r="D5" s="59" t="s">
        <v>9</v>
      </c>
      <c r="E5" s="50"/>
      <c r="F5" s="51" t="s">
        <v>10</v>
      </c>
      <c r="G5" s="27"/>
    </row>
    <row r="6" spans="1:7" ht="27.75" x14ac:dyDescent="0.2">
      <c r="A6" s="57" t="s">
        <v>11</v>
      </c>
      <c r="B6" s="28" t="str">
        <f>"Tomar " &amp; ROUND(IF((B2*20)&lt;=1500, IF(((B2*20)/3)/(250/5)&lt;=10, ((B2*20)/3)/(250/5), 10), IF((1500/3)/(250/5)&lt;=10, (1500/3)/(250/5), 10)), 1) &amp; " mL por via oral de 8/8 horas por 7 a 10 dias."</f>
        <v>Tomar 1,9 mL por via oral de 8/8 horas por 7 a 10 dias.</v>
      </c>
      <c r="D6" s="62" t="s">
        <v>6</v>
      </c>
      <c r="E6" s="53" t="str">
        <f>"Oferecer "&amp;IF(B1&lt;0.3,"1,2",IF(AND(B1&gt;=0.3,B1&lt;=0.5),"2",IF(AND(B1&gt;=0.6,B1&lt;=0.11),"2,5",IF(B2&lt;=14,"3",IF(AND(B2&gt;14,B2&lt;=23),"4,5",IF(AND(B2&gt;23,B2&lt;=40),"6","7,5"))))))&amp;" mL de 12 em 12 horas, por 5 dias. Necessário 10 cápsulas ao total."</f>
        <v>Oferecer 4,5 mL de 12 em 12 horas, por 5 dias. Necessário 10 cápsulas ao total.</v>
      </c>
      <c r="F6" s="51" t="s">
        <v>12</v>
      </c>
      <c r="G6" s="27"/>
    </row>
    <row r="7" spans="1:7" ht="27.75" x14ac:dyDescent="0.2">
      <c r="A7" s="57" t="s">
        <v>13</v>
      </c>
      <c r="B7" s="28" t="str">
        <f>"Tomar " &amp; ROUND(IF((B2*25)&lt;=1750, IF(((B2*25)/2)/(400/5)&lt;=10, ((B2*25)/2)/(400/5), 10), IF((1750/2)/(400/5)&lt;=10, (1750/2)/(400/5), 10)), 1) &amp; " mL por via oral de 12/12 horas por 7 a 10 dias."</f>
        <v>Tomar 2,2 mL por via oral de 12/12 horas por 7 a 10 dias.</v>
      </c>
      <c r="D7" s="33"/>
      <c r="E7" s="49"/>
      <c r="F7" s="51" t="s">
        <v>14</v>
      </c>
      <c r="G7" s="27"/>
    </row>
    <row r="8" spans="1:7" ht="27.75" x14ac:dyDescent="0.2">
      <c r="A8" s="57" t="s">
        <v>15</v>
      </c>
      <c r="B8" s="28" t="str">
        <f>"Tomar " &amp; ROUND(IF((B2*90)&lt;=4000, IF(((B2*90)/2)/(600/5)&lt;=10, ((B2*90)/2)/(600/5), 10), IF((4000/2)/(600/5)&lt;=10, (4000/2)/(600/5), 10)), 1) &amp; " mL por via oral de 12/12 horas por 7 a 10 dias."</f>
        <v>Tomar 5,4 mL por via oral de 12/12 horas por 7 a 10 dias.</v>
      </c>
      <c r="D8" s="33"/>
      <c r="E8" s="49"/>
      <c r="F8" s="52" t="s">
        <v>16</v>
      </c>
      <c r="G8" s="27"/>
    </row>
    <row r="9" spans="1:7" x14ac:dyDescent="0.2">
      <c r="A9" s="57" t="s">
        <v>17</v>
      </c>
      <c r="B9" s="28" t="str">
        <f>"Tomar " &amp; ROUND(IF((B2*20)&lt;=1750, IF(((B2*20)/2)/(200/5)&lt;=12, ((B2*20)/2)/(200/5), 12), IF((1750/2)/(200/5)&lt;=12, (1750/2)/(200/5), 12)), 1) &amp; " mL por via oral de 12/12 horas por 7 a 10 dias."</f>
        <v>Tomar 3,6 mL por via oral de 12/12 horas por 7 a 10 dias.</v>
      </c>
      <c r="C9" s="35"/>
      <c r="D9" s="33"/>
      <c r="E9" s="92"/>
      <c r="F9" s="27"/>
      <c r="G9" s="171"/>
    </row>
    <row r="10" spans="1:7" x14ac:dyDescent="0.2">
      <c r="A10" s="57" t="s">
        <v>18</v>
      </c>
      <c r="B10" s="28" t="str">
        <f>IF(B2&lt;35,"Não se aplica","Tomar " &amp; ROUND(IF((B2*50)&lt;=1750, ((B2*50)/2)/875, (1750/2)/875), 1) &amp; " comprimidos por via oral de 12/12 horas por 7 dias.")</f>
        <v>Não se aplica</v>
      </c>
      <c r="D10" s="33"/>
      <c r="E10" s="146" t="s">
        <v>19</v>
      </c>
      <c r="F10" s="65" t="s">
        <v>20</v>
      </c>
      <c r="G10" s="171"/>
    </row>
    <row r="11" spans="1:7" x14ac:dyDescent="0.2">
      <c r="A11" s="57" t="s">
        <v>21</v>
      </c>
      <c r="B11" s="28" t="str">
        <f>"Tomar " &amp; ROUND(IF((B2*20)&lt;=1000, ((B2*20)/2)/(250/5), (1000/2)/(250/5)), 1) &amp; " mL por via oral de 12/12 horas por 7 a 10 dias."</f>
        <v>Tomar 2,9 mL por via oral de 12/12 horas por 7 a 10 dias.</v>
      </c>
      <c r="D11" s="125"/>
      <c r="E11" s="62" t="s">
        <v>22</v>
      </c>
      <c r="F11" s="95" t="s">
        <v>23</v>
      </c>
      <c r="G11" s="27"/>
    </row>
    <row r="12" spans="1:7" x14ac:dyDescent="0.2">
      <c r="A12" s="57" t="s">
        <v>24</v>
      </c>
      <c r="B12" s="28" t="str">
        <f>"Tomar " &amp; ROUND(IF((B2*20)&lt;=1000, ((B2*20)/2)/(250/5), (1000/2)/(250/5)), 1) &amp; " mL por via oral de 12/12 horas por 7 a 10 dias."</f>
        <v>Tomar 2,9 mL por via oral de 12/12 horas por 7 a 10 dias.</v>
      </c>
      <c r="D12" s="33"/>
      <c r="E12" s="49"/>
      <c r="F12" s="93" t="s">
        <v>25</v>
      </c>
      <c r="G12" s="27"/>
    </row>
    <row r="13" spans="1:7" x14ac:dyDescent="0.2">
      <c r="A13" s="57" t="s">
        <v>26</v>
      </c>
      <c r="B13" s="28" t="str">
        <f>"Tomar " &amp; ROUND(IF((B2*20)&lt;=1000, ((B2*20)/2)/(375/5), (1000/2)/(375/5)), 1) &amp; " mL por via oral de 12/12 horas por 7 a 10 dias."</f>
        <v>Tomar 1,9 mL por via oral de 12/12 horas por 7 a 10 dias.</v>
      </c>
      <c r="D13" s="33"/>
      <c r="E13" s="49"/>
      <c r="F13" s="93" t="s">
        <v>27</v>
      </c>
      <c r="G13" s="27"/>
    </row>
    <row r="14" spans="1:7" ht="68.25" x14ac:dyDescent="0.2">
      <c r="A14" s="57" t="s">
        <v>28</v>
      </c>
      <c r="B14" s="28" t="str">
        <f>"Tomar " &amp; ROUND(IF((B2*25)&lt;=2000, B2*25/50/4, 2000/50/4), 1) &amp; " mL por via oral de 6/6 horas ou " &amp; ROUND(IF((B2*25)&lt;=2000, B2*25/50/2, 2000/50/2), 1) &amp; " mL por via oral de 12/12 horas por 7 a 10 dias."</f>
        <v>Tomar 1,8 mL por via oral de 6/6 horas ou 3,6 mL por via oral de 12/12 horas por 7 a 10 dias.</v>
      </c>
      <c r="D14" s="33"/>
      <c r="E14" s="49"/>
      <c r="F14" s="93" t="s">
        <v>29</v>
      </c>
      <c r="G14" s="27"/>
    </row>
    <row r="15" spans="1:7" ht="41.25" x14ac:dyDescent="0.2">
      <c r="A15" s="57" t="s">
        <v>30</v>
      </c>
      <c r="B15" s="28" t="str">
        <f>"Tomar " &amp; ROUND(IF((B2*10)&lt;=1000, (B2*10)/(200/5), 1000/(200/5)), 1) &amp; " mL por via oral uma vez ao dia por 3 a 5 dias."</f>
        <v>Tomar 3,6 mL por via oral uma vez ao dia por 3 a 5 dias.</v>
      </c>
      <c r="D15" s="33"/>
      <c r="E15" s="49"/>
      <c r="F15" s="93" t="s">
        <v>31</v>
      </c>
      <c r="G15" s="27"/>
    </row>
    <row r="16" spans="1:7" ht="54.75" x14ac:dyDescent="0.2">
      <c r="A16" s="57" t="s">
        <v>32</v>
      </c>
      <c r="B16" s="28" t="str">
        <f>"Tomar " &amp; ROUND(IF((B2*7.5)&lt;=1000, IF(((B2*7.5)/2)/(125/5)&lt;=10, ((B2*7.5)/2)/(125/5), 10), IF((1000/2)/(125/5)&lt;=10, (1000/2)/(125/5), 10)), 1) &amp; " mL por via oral de 12/12 horas por 7 a 14 dias."</f>
        <v>Tomar 2,1 mL por via oral de 12/12 horas por 7 a 14 dias.</v>
      </c>
      <c r="D16" s="33"/>
      <c r="E16" s="49"/>
      <c r="F16" s="94" t="s">
        <v>33</v>
      </c>
      <c r="G16" s="27"/>
    </row>
    <row r="17" spans="1:6" x14ac:dyDescent="0.2">
      <c r="A17" s="57" t="s">
        <v>34</v>
      </c>
      <c r="B17" s="28" t="str">
        <f>"Tomar " &amp; ROUND(IF((B2*7.5)&lt;=1000, IF(((B2*7.5)/2)/(250/5)&lt;=10, ((B2*7.5)/2)/(250/5), 10), IF((1000/2)/(250/5)&lt;=10, (1000/2)/(250/5), 10)), 1) &amp; " mL por via oral de 12/12 horas por 7 a 14 dias."</f>
        <v>Tomar 1,1 mL por via oral de 12/12 horas por 7 a 14 dias.</v>
      </c>
      <c r="D17" s="33"/>
      <c r="E17" s="42"/>
      <c r="F17" s="27"/>
    </row>
    <row r="18" spans="1:6" x14ac:dyDescent="0.2">
      <c r="A18" s="110" t="s">
        <v>35</v>
      </c>
      <c r="B18" s="55" t="str">
        <f>"Tomar "&amp;ROUND((IF(B2*15&gt;1000,1000/2,(B2*15)/2)*5)/250,1)&amp;" mL por via oral de 12/12 horas por 5 a 7 dias."</f>
        <v>Tomar 2,1 mL por via oral de 12/12 horas por 5 a 7 dias.</v>
      </c>
      <c r="D18" s="33"/>
      <c r="E18" s="42"/>
      <c r="F18" s="27"/>
    </row>
    <row r="19" spans="1:6" x14ac:dyDescent="0.2">
      <c r="A19" s="104" t="s">
        <v>36</v>
      </c>
      <c r="B19" s="28" t="str">
        <f>"Tomar " &amp; ROUND(IF((B2*5)&lt;=100, IF(((B2*5)/4)/5&lt;=10, ((B2*5)/4)/5, 10), IF((100/4)/5&lt;=10, (100/4)/5, 10)), 1) &amp; " mL por via oral de 6/6 horas por 7 dias."</f>
        <v>Tomar 3,6 mL por via oral de 6/6 horas por 7 dias.</v>
      </c>
      <c r="D19" s="33"/>
      <c r="E19" s="41"/>
      <c r="F19" s="27"/>
    </row>
    <row r="20" spans="1:6" x14ac:dyDescent="0.2">
      <c r="A20" s="104" t="s">
        <v>37</v>
      </c>
      <c r="B20" s="28" t="str">
        <f>IF(B2&lt;28.6,"Não se aplica",IF((B2*7)&lt;=300,"Tomar 1 comprimido de 12/12 horas por 7 dias.",IF((B2*7)&lt;=400,"Tomar 1 comprimido de 8/8 horas por 7 dias.", "Tomar 1 comprimido de 6/6 horas por 7 dias.")))</f>
        <v>Não se aplica</v>
      </c>
      <c r="D20" s="33"/>
      <c r="E20" s="42"/>
      <c r="F20" s="27"/>
    </row>
    <row r="21" spans="1:6" x14ac:dyDescent="0.2">
      <c r="A21" s="57" t="s">
        <v>38</v>
      </c>
      <c r="B21" s="28" t="str">
        <f>"Tomar " &amp; ROUND(IF((B2*50)&lt;=1200, ((B2*50)/3)/(200/5), (1200/3)/(200/5)), 1) &amp; " mL por via oral de 8/8 horas por 7 a 10 dias."</f>
        <v>Tomar 6 mL por via oral de 8/8 horas por 7 a 10 dias.</v>
      </c>
      <c r="D21" s="33"/>
      <c r="E21" s="42"/>
      <c r="F21" s="27"/>
    </row>
    <row r="22" spans="1:6" x14ac:dyDescent="0.2">
      <c r="A22" s="57" t="s">
        <v>39</v>
      </c>
      <c r="B22" s="28" t="str">
        <f>"Tomar " &amp; ROUND(IF((B2*20)&lt;=1750, IF(((B2*20)/2)/(200/5)&lt;=15, ((B2*20)/2)/(200/5), 15), IF((1750/2)/(200/5)&lt;=15, (1750/2)/(200/5), 15)), 1) &amp; " mL por via oral de 12/12 horas por 7 a 10 dias."</f>
        <v>Tomar 3,6 mL por via oral de 12/12 horas por 7 a 10 dias.</v>
      </c>
      <c r="D22" s="31"/>
      <c r="E22" s="42"/>
      <c r="F22" s="27"/>
    </row>
    <row r="23" spans="1:6" x14ac:dyDescent="0.2">
      <c r="A23" s="57" t="s">
        <v>40</v>
      </c>
      <c r="B23" s="28" t="str">
        <f>"Tomar " &amp; ROUND(IF((B2*20)&lt;=1750, IF(((B2*20)/2)/(400/5)&lt;=10, ((B2*20)/2)/(400/5), 10), IF((1750/2)/(400/5)&lt;=10, (1750/2)/(400/5), 10)), 1) &amp; " mL por via oral de 12/12 horas por 7 a 10 dias."</f>
        <v>Tomar 1,8 mL por via oral de 12/12 horas por 7 a 10 dias.</v>
      </c>
      <c r="D23" s="31"/>
      <c r="E23" s="42"/>
      <c r="F23" s="27"/>
    </row>
    <row r="24" spans="1:6" x14ac:dyDescent="0.2">
      <c r="A24" s="57" t="s">
        <v>41</v>
      </c>
      <c r="B24" s="28" t="str">
        <f>"Tomar " &amp; ROUND(IF((B2*30)&lt;=1000, ((B2*30)/2)/(250/5), (1000/2)/(250/5)), 1) &amp; " mL por via oral de 12/12 horas por 7 a 10 dias."</f>
        <v>Tomar 4,3 mL por via oral de 12/12 horas por 7 a 10 dias.</v>
      </c>
      <c r="C24" s="27"/>
      <c r="D24" s="33"/>
      <c r="E24" s="42"/>
      <c r="F24" s="27"/>
    </row>
    <row r="25" spans="1:6" x14ac:dyDescent="0.2">
      <c r="A25" s="57" t="s">
        <v>42</v>
      </c>
      <c r="B25" s="28" t="str">
        <f>"Tomar " &amp; ROUND(IF((B2*30)&lt;=1000, ((B2*30)/2)/(500/5), (1000/2)/(500/5)), 1) &amp; " mL por via oral de 12/12 horas por 7 a 10 dias."</f>
        <v>Tomar 2,1 mL por via oral de 12/12 horas por 7 a 10 dias.</v>
      </c>
      <c r="D25" s="33"/>
      <c r="E25" s="42"/>
      <c r="F25" s="27"/>
    </row>
    <row r="26" spans="1:6" x14ac:dyDescent="0.2">
      <c r="A26" s="57" t="s">
        <v>43</v>
      </c>
      <c r="B26" s="55" t="str">
        <f>IF(B1&lt;0.4,"Contraindicado ", "Tomar "&amp;ROUNDUP((B2*13.75)/50,2)&amp;" mL por via oral de 6/6 horas. Por 7 a 14 dias.")</f>
        <v>Tomar 3,94 mL por via oral de 6/6 horas. Por 7 a 14 dias.</v>
      </c>
      <c r="D26" s="33"/>
      <c r="E26" s="42"/>
      <c r="F26" s="27"/>
    </row>
    <row r="27" spans="1:6" x14ac:dyDescent="0.2">
      <c r="A27" s="170" t="s">
        <v>44</v>
      </c>
      <c r="B27" s="60"/>
      <c r="C27" s="27"/>
      <c r="D27" s="33"/>
      <c r="E27" s="42"/>
      <c r="F27" s="27"/>
    </row>
    <row r="28" spans="1:6" x14ac:dyDescent="0.2">
      <c r="A28" s="57" t="s">
        <v>45</v>
      </c>
      <c r="B28" s="28" t="str">
        <f>"Tomar " &amp; ROUND(IF((B2*15)&lt;=500,(B2*15)/25,20),0) &amp; " gotas por via oral de 6/6 horas."</f>
        <v>Tomar 9 gotas por via oral de 6/6 horas.</v>
      </c>
      <c r="C28" s="27"/>
      <c r="D28" s="33"/>
      <c r="E28" s="42"/>
      <c r="F28" s="27"/>
    </row>
    <row r="29" spans="1:6" x14ac:dyDescent="0.2">
      <c r="A29" s="57" t="s">
        <v>46</v>
      </c>
      <c r="B29" s="28" t="str">
        <f>"Tomar " &amp; ROUND(IF((B2*15)&lt;=500, (B2*15)/50, 500/50), 1) &amp; " mL por via oral de 6/6 horas."</f>
        <v>Tomar 4,3 mL por via oral de 6/6 horas.</v>
      </c>
      <c r="C29" s="27"/>
      <c r="D29" s="33"/>
      <c r="E29" s="42"/>
      <c r="F29" s="27"/>
    </row>
    <row r="30" spans="1:6" x14ac:dyDescent="0.2">
      <c r="A30" s="57" t="s">
        <v>47</v>
      </c>
      <c r="B30" s="28" t="str">
        <f>"Administrar " &amp; ROUND(IF((B2*15)&lt;=1000, (B2*15)/500, 1000/500), 1) &amp; " mL por via EV ou IM a cada 6 horas."</f>
        <v>Administrar 0,4 mL por via EV ou IM a cada 6 horas.</v>
      </c>
      <c r="C30" s="125"/>
      <c r="D30" s="33"/>
      <c r="E30" s="41"/>
      <c r="F30" s="27"/>
    </row>
    <row r="31" spans="1:6" ht="27.75" x14ac:dyDescent="0.2">
      <c r="A31" s="57" t="s">
        <v>48</v>
      </c>
      <c r="B31" s="28" t="str">
        <f>"Administrar " &amp; ROUND(IF((B2*1)&lt;=100, (B2*1)/50, 100/50), 1) &amp; " mL por via EV diluido em 50 ml de SF 0,9% (Administrar bem lentamente), a cada 8 horas."</f>
        <v>Administrar 0,3 mL por via EV diluido em 50 ml de SF 0,9% (Administrar bem lentamente), a cada 8 horas.</v>
      </c>
      <c r="C31" s="27"/>
      <c r="D31" s="33"/>
      <c r="E31" s="42"/>
      <c r="F31" s="27"/>
    </row>
    <row r="32" spans="1:6" x14ac:dyDescent="0.2">
      <c r="A32" s="57" t="s">
        <v>49</v>
      </c>
      <c r="B32" s="28" t="str">
        <f>"Tomar " &amp; ROUND(IF((B2*1)&lt;=50,(B2*1)/2.5,20),0) &amp; " gotas por via oral de 8/8 horas. (Se dor muito forte)"</f>
        <v>Tomar 6 gotas por via oral de 8/8 horas. (Se dor muito forte)</v>
      </c>
      <c r="D32" s="33"/>
      <c r="E32" s="42"/>
      <c r="F32" s="27"/>
    </row>
    <row r="33" spans="1:6" x14ac:dyDescent="0.2">
      <c r="A33" s="57" t="s">
        <v>50</v>
      </c>
      <c r="B33" s="28" t="str">
        <f>"Tomar " &amp; ROUND(IF((B2*15)&lt;=1000, (B2*15)/25, 1000/25), 0) &amp; " gotas por via oral de 6/6 horas."</f>
        <v>Tomar 9 gotas por via oral de 6/6 horas.</v>
      </c>
      <c r="C33" s="27"/>
      <c r="D33" s="33"/>
      <c r="E33" s="42"/>
      <c r="F33" s="27"/>
    </row>
    <row r="34" spans="1:6" x14ac:dyDescent="0.2">
      <c r="A34" s="57" t="s">
        <v>51</v>
      </c>
      <c r="B34" s="28" t="str">
        <f>"Administrar " &amp; ROUND(IF((B2*15)&lt;=1000, (B2*15)/500, 1000/500), 1) &amp; " mL por via EV diluido em 50 ml de SF 0,9% a cada 6 horas."</f>
        <v>Administrar 0,4 mL por via EV diluido em 50 ml de SF 0,9% a cada 6 horas.</v>
      </c>
      <c r="D34" s="33"/>
      <c r="E34" s="42"/>
      <c r="F34" s="27"/>
    </row>
    <row r="35" spans="1:6" ht="27.75" x14ac:dyDescent="0.2">
      <c r="A35" s="57" t="s">
        <v>52</v>
      </c>
      <c r="B35" s="28" t="str">
        <f>"Tomar " &amp; ROUND(IF((B2*10)&lt;=350, (B2*10)/10, 350/10), 0) &amp; " gotas por via oral de 4/4 horas. (Não exceder 5 administrações por dia)"</f>
        <v>Tomar 14 gotas por via oral de 4/4 horas. (Não exceder 5 administrações por dia)</v>
      </c>
      <c r="D35" s="33"/>
      <c r="E35" s="41"/>
      <c r="F35" s="27"/>
    </row>
    <row r="36" spans="1:6" x14ac:dyDescent="0.2">
      <c r="A36" s="57" t="s">
        <v>53</v>
      </c>
      <c r="B36" s="28" t="str">
        <f>"Tomar " &amp; ROUND(IF((B2*10)&lt;=200,(B2*10)/5,200/5),0) &amp; " gotas por via oral de 6/6 horas. Por 3 a 5 dias."</f>
        <v>Tomar 29 gotas por via oral de 6/6 horas. Por 3 a 5 dias.</v>
      </c>
      <c r="D36" s="33"/>
      <c r="E36" s="42"/>
      <c r="F36" s="27"/>
    </row>
    <row r="37" spans="1:6" x14ac:dyDescent="0.2">
      <c r="A37" s="57" t="s">
        <v>54</v>
      </c>
      <c r="B37" s="28" t="str">
        <f>"Tomar " &amp; ROUND(IF((B2*10)&lt;=200,(B2*10)/10,200/10),0) &amp; " gotas por via oral de 6/6 horas. Por 3 a 5 dias."</f>
        <v>Tomar 14 gotas por via oral de 6/6 horas. Por 3 a 5 dias.</v>
      </c>
      <c r="D37" s="33"/>
      <c r="E37" s="42"/>
      <c r="F37" s="27"/>
    </row>
    <row r="38" spans="1:6" ht="27.75" x14ac:dyDescent="0.2">
      <c r="A38" s="57" t="s">
        <v>55</v>
      </c>
      <c r="B38" s="28" t="str">
        <f>"Administrar " &amp; ROUND(IF((B2*1)&lt;=100, (B2*1)/50, 100/50), 1) &amp; " mL por via IM ou (EV diluido em 50 ml de SF 0,9%), a cada 12 horas."</f>
        <v>Administrar 0,3 mL por via IM ou (EV diluido em 50 ml de SF 0,9%), a cada 12 horas.</v>
      </c>
      <c r="D38" s="33"/>
      <c r="E38" s="42"/>
      <c r="F38" s="27"/>
    </row>
    <row r="39" spans="1:6" x14ac:dyDescent="0.2">
      <c r="A39" s="57" t="s">
        <v>56</v>
      </c>
      <c r="B39" s="28" t="str">
        <f>"Tomar " &amp; ROUND(IF(B2&lt;=40, IF((B2*1)&lt;=((B2*2)/2), (B2*1), (B2*2)/2), IF((90/3)&lt;=((B2*1)), (90/3), (B2*1))),1) &amp; " gotas por via oral " &amp; IF(B2&lt;=40," de 12/12 horas. Por 3 a 5 dias."," de 8/8 horas. Por 3 a 5 dias.")</f>
        <v>Tomar 14,3 gotas por via oral  de 12/12 horas. Por 3 a 5 dias.</v>
      </c>
      <c r="D39" s="33"/>
      <c r="E39" s="41"/>
      <c r="F39" s="27"/>
    </row>
    <row r="40" spans="1:6" x14ac:dyDescent="0.2">
      <c r="A40" s="57" t="s">
        <v>57</v>
      </c>
      <c r="B40" s="28" t="str">
        <f>"Tomar " &amp; ROUND(IF((B2*0.75)&lt;=30,(B2*0.75)/0.75,40),0) &amp; " gotas por via oral de 8/8 horas. Por 3 a 5 dias."</f>
        <v>Tomar 14 gotas por via oral de 8/8 horas. Por 3 a 5 dias.</v>
      </c>
      <c r="D40" s="33"/>
      <c r="E40" s="42"/>
      <c r="F40" s="27"/>
    </row>
    <row r="41" spans="1:6" x14ac:dyDescent="0.2">
      <c r="A41" s="57" t="s">
        <v>58</v>
      </c>
      <c r="B41" s="28" t="str">
        <f>"Tomar " &amp; ROUND(IF((B2*2)&lt;=100,(B2*2)/2.5,40),0) &amp; " gotas por via oral de 12/12 horas. Por 3 a 5 dias."</f>
        <v>Tomar 11 gotas por via oral de 12/12 horas. Por 3 a 5 dias.</v>
      </c>
      <c r="D41" s="33"/>
      <c r="E41" s="42"/>
      <c r="F41" s="27"/>
    </row>
    <row r="42" spans="1:6" x14ac:dyDescent="0.2">
      <c r="A42" s="170" t="s">
        <v>59</v>
      </c>
      <c r="B42" s="60"/>
      <c r="D42" s="33"/>
      <c r="E42" s="42"/>
      <c r="F42" s="27"/>
    </row>
    <row r="43" spans="1:6" x14ac:dyDescent="0.2">
      <c r="A43" s="57" t="s">
        <v>60</v>
      </c>
      <c r="B43" s="28" t="str">
        <f>"Tomar " &amp; IF(ROUND(IF((B2*0.2)&lt;=4,(B2*0.2)/4,1),1)&lt;0.5,0.5,ROUND(IF((B2*0.2)&lt;=4,(B2*0.2)/4,1),1)) &amp; " Filme por via oral de 8/8 horas."</f>
        <v>Tomar 0,7 Filme por via oral de 8/8 horas.</v>
      </c>
      <c r="D43" s="33"/>
      <c r="E43" s="42"/>
      <c r="F43" s="27"/>
    </row>
    <row r="44" spans="1:6" x14ac:dyDescent="0.2">
      <c r="A44" s="57" t="s">
        <v>61</v>
      </c>
      <c r="B44" s="28" t="str">
        <f>"Tomar " &amp; ROUND(IF((B2*0.1)&lt;=4,B2*0.1,4)/0.8,1) &amp; " mL por via oral de 8/8 horas."</f>
        <v>Tomar 1,8 mL por via oral de 8/8 horas.</v>
      </c>
      <c r="D44" s="33"/>
      <c r="E44" s="42"/>
      <c r="F44" s="27"/>
    </row>
    <row r="45" spans="1:6" x14ac:dyDescent="0.2">
      <c r="A45" s="57" t="s">
        <v>62</v>
      </c>
      <c r="B45" s="28" t="str">
        <f>"Tomar " &amp;ROUND(IF(B2&lt;=20, B2, 20), 0) &amp; " gotas por via oral de 8/8 horas."</f>
        <v>Tomar 14 gotas por via oral de 8/8 horas.</v>
      </c>
      <c r="D45" s="33"/>
      <c r="E45" s="42"/>
      <c r="F45" s="27"/>
    </row>
    <row r="46" spans="1:6" x14ac:dyDescent="0.2">
      <c r="A46" s="57" t="s">
        <v>63</v>
      </c>
      <c r="B46" s="28" t="str">
        <f>"Tomar " &amp; ROUND(IF((B2*0.15)&lt;=10/3, (B2*0.15)/0.2, (10/3)/0.2), 0) &amp; " gotas por via oral de 8/8 horas."</f>
        <v>Tomar 11 gotas por via oral de 8/8 horas.</v>
      </c>
      <c r="D46" s="33"/>
      <c r="E46" s="42"/>
      <c r="F46" s="27"/>
    </row>
    <row r="47" spans="1:6" x14ac:dyDescent="0.2">
      <c r="A47" s="57" t="s">
        <v>64</v>
      </c>
      <c r="B47" s="28" t="str">
        <f>"Tomar " &amp; ROUND(IF(B1&lt;=6,IF((B2*1)&lt;=15,B2*1,15),IF(B1&lt;=12,IF((B2*1)&lt;=30,B2*1,30),IF((B2*1)&lt;=80,B2*1,80))),0) &amp; " gotas por via oral de 6/6 horas."</f>
        <v>Tomar 14 gotas por via oral de 6/6 horas.</v>
      </c>
      <c r="C47" s="27"/>
      <c r="D47" s="33"/>
      <c r="E47" s="42"/>
      <c r="F47" s="27"/>
    </row>
    <row r="48" spans="1:6" ht="15.75" customHeight="1" x14ac:dyDescent="0.2">
      <c r="A48" s="57" t="s">
        <v>65</v>
      </c>
      <c r="B48" s="28" t="str">
        <f>"Tomar " &amp; ROUND(IF((B2*0.3)&lt;=10,B2*0.3,10),1) &amp; " mL por via oral 30 minutos antes das refeições de 8/8 horas."</f>
        <v>Tomar 4,3 mL por via oral 30 minutos antes das refeições de 8/8 horas.</v>
      </c>
      <c r="C48" s="27"/>
      <c r="D48" s="33"/>
      <c r="E48" s="42"/>
      <c r="F48" s="27"/>
    </row>
    <row r="49" spans="1:6" ht="27.75" x14ac:dyDescent="0.2">
      <c r="A49" s="110" t="s">
        <v>66</v>
      </c>
      <c r="B49" s="28" t="str">
        <f>"Reconstituir "&amp;ROUNDUP(IF(B2*1&gt;40,40,B2*1)/40,0)&amp;" frasco(s) com 10 mL de diluente. Administrar "&amp;ROUND(IF(B2*1&gt;40,40,B2*1)/4,1)&amp;" mL EV uma vez ao dia."</f>
        <v>Reconstituir 1 frasco(s) com 10 mL de diluente. Administrar 3,6 mL EV uma vez ao dia.</v>
      </c>
      <c r="C49" s="27"/>
      <c r="D49" s="33"/>
      <c r="E49" s="42"/>
      <c r="F49" s="27"/>
    </row>
    <row r="50" spans="1:6" x14ac:dyDescent="0.2">
      <c r="A50" s="57" t="s">
        <v>67</v>
      </c>
      <c r="B50" s="28" t="str">
        <f>"Tomar " &amp; ROUND(IF((B2*1)&lt;=40, B2*1, 40)/4, 1) &amp; " mL por via oral ou SNG em dose única pela manhã."</f>
        <v>Tomar 3,6 mL por via oral ou SNG em dose única pela manhã.</v>
      </c>
      <c r="C50" s="27"/>
      <c r="D50" s="33"/>
      <c r="E50" s="42"/>
      <c r="F50" s="27"/>
    </row>
    <row r="51" spans="1:6" x14ac:dyDescent="0.2">
      <c r="A51" s="57" t="s">
        <v>68</v>
      </c>
      <c r="B51" s="28" t="str">
        <f>IF(B1&gt;=12," Tomar 13 gotas por via oral de 8/8 horas. Por 3 a 5 dias.",IF(B1&lt;1," Tomar de 3 a 5 gotas por via oral de 8/8 horas. Por 3 a 5 dias.", " Tomar de 5 a 10 gotas por via oral de 8/8 horas. Por 3 a 5 dias."))</f>
        <v xml:space="preserve"> Tomar de 5 a 10 gotas por via oral de 8/8 horas. Por 3 a 5 dias.</v>
      </c>
      <c r="C51" s="27"/>
      <c r="D51" s="33"/>
      <c r="E51" s="42"/>
      <c r="F51" s="27"/>
    </row>
    <row r="52" spans="1:6" x14ac:dyDescent="0.2">
      <c r="A52" s="57" t="s">
        <v>69</v>
      </c>
      <c r="B52" s="28" t="str">
        <f>IF(B2&lt;=4,"Tomar 0,5 mL por via oral de 12/12 horas.",
IF(B2&lt;=7,"Tomar 1 mL por via oral de 12/12 horas.",
IF(B2&lt;=10,"Tomar 1,5 mL por via oral de 12/12 horas.",
IF(B2&lt;=13,"Tomar 2 mL por via oral de 12/12 horas.",
IF(B2&lt;=16,"Tomar 2,5 mL por via oral de 12/12 horas.",
IF(B2&lt;=19,"Tomar 3 mL por via oral de 12/12 horas.",
IF(B2&lt;=22,"Tomar 3,5 mL por via oral de 12/12 horas.",
IF(B2&lt;=25,"Tomar 4 mL por via oral de 12/12 horas.",
IF(B2&lt;=28,"Tomar 4,5 mL por via oral de 12/12 horas.",
IF(B2&lt;=31,"Tomar 5 mL por via oral de 12/12 horas.",
IF(B2&lt;=34,"Tomar 5,5 mL por via oral de 12/12 horas.",
IF(B2&lt;=37,"Tomar 6 mL por via oral de 12/12 horas.",
IF(B2&lt;=40,"Tomar 6,5 mL por via oral de 12/12 horas.",
"Tomar 7 mL por via oral de 12/12 horas.")))))))))))))</f>
        <v>Tomar 2,5 mL por via oral de 12/12 horas.</v>
      </c>
      <c r="C52" s="27"/>
      <c r="D52" s="33"/>
      <c r="E52" s="41"/>
      <c r="F52" s="27"/>
    </row>
    <row r="53" spans="1:6" x14ac:dyDescent="0.2">
      <c r="A53" s="57" t="s">
        <v>70</v>
      </c>
      <c r="B53" s="28" t="str">
        <f>"Tomar " &amp; ROUND(IF((B2*1)&lt;=90/3,(B2*1)/0.75,(90/3)/0.75),0) &amp; " gotas por via oral de 8/8 horas."</f>
        <v>Tomar 19 gotas por via oral de 8/8 horas.</v>
      </c>
      <c r="C53" s="27"/>
      <c r="D53" s="33"/>
      <c r="E53" s="42"/>
      <c r="F53" s="27"/>
    </row>
    <row r="54" spans="1:6" ht="27.75" x14ac:dyDescent="0.2">
      <c r="A54" s="57" t="s">
        <v>71</v>
      </c>
      <c r="B54" s="28" t="str">
        <f>"Misturar " &amp; ROUND(IF((B2*1)&lt;=50, B2*1, 50), 0) &amp; " g com " &amp; ROUND(IF((B2*1)&lt;=50, B2*1, 50)/25*50, 0) &amp; " mL de água para formar uma suspensão. Administrar por VO ou SNG."</f>
        <v>Misturar 14 g com 29 mL de água para formar uma suspensão. Administrar por VO ou SNG.</v>
      </c>
      <c r="D54" s="33"/>
      <c r="E54" s="42"/>
      <c r="F54" s="27"/>
    </row>
    <row r="55" spans="1:6" ht="27.75" x14ac:dyDescent="0.2">
      <c r="A55" s="57" t="s">
        <v>72</v>
      </c>
      <c r="B55" s="28" t="str">
        <f>"Administrar " &amp; ROUND(IF((B2*0.2)&lt;=4,B2*0.2,4)/2,1) &amp; " mL por via IM ou (EV diluido em 50 mL de SF 0,9% ou SG 5%) a cada 8 horas"</f>
        <v>Administrar 1,4 mL por via IM ou (EV diluido em 50 mL de SF 0,9% ou SG 5%) a cada 8 horas</v>
      </c>
      <c r="D55" s="33"/>
      <c r="E55" s="42"/>
      <c r="F55" s="27"/>
    </row>
    <row r="56" spans="1:6" ht="27.75" x14ac:dyDescent="0.2">
      <c r="A56" s="57" t="s">
        <v>73</v>
      </c>
      <c r="B56" s="28" t="str">
        <f>"Administrar " &amp; ROUNDUP(IF((B2*0.2)&lt;=20, IF(((B2*0.2)/1)/(5/1)&lt;=4, ((B2*0.2)/1)/(5/1), 4), IF((20/1)/(5/1)&lt;=4, (20/1)/(5/1), 20)), 1) &amp; " mL por via EV diluido em 50 mL de SF 0,9% ou SG 5% a cada 8 horas"</f>
        <v>Administrar 0,6 mL por via EV diluido em 50 mL de SF 0,9% ou SG 5% a cada 8 horas</v>
      </c>
      <c r="D56" s="33"/>
      <c r="E56" s="42"/>
      <c r="F56" s="27"/>
    </row>
    <row r="57" spans="1:6" x14ac:dyDescent="0.2">
      <c r="A57" s="57" t="s">
        <v>74</v>
      </c>
      <c r="B57" s="28" t="str">
        <f>"Administrar " &amp; ROUNDUP(IF((B2*0.15)&lt;=10,B2*0.15,10)/5,1) &amp; " mL + 50 ml de SF 0,9% ou SG 5% por via EV a cada 8 horas."</f>
        <v>Administrar 0,5 mL + 50 ml de SF 0,9% ou SG 5% por via EV a cada 8 horas.</v>
      </c>
      <c r="D57" s="33"/>
      <c r="E57" s="42"/>
      <c r="F57" s="27"/>
    </row>
    <row r="58" spans="1:6" ht="27.75" x14ac:dyDescent="0.2">
      <c r="A58" s="57" t="s">
        <v>75</v>
      </c>
      <c r="B58" s="28" t="str">
        <f>"Administrar " &amp;ROUND(IF((B2*1.25)&lt;=270/3, IF(((B2*1.25)/30)*10&lt;=90, ((B2*1.25)/30)*10, 90), (270/3)/30*10), 1) &amp; " mL por via EV diluido em 50 mL de SF 0,9% ou SG 5% a cada 8 horas."</f>
        <v>Administrar 6 mL por via EV diluido em 50 mL de SF 0,9% ou SG 5% a cada 8 horas.</v>
      </c>
      <c r="D58" s="33"/>
      <c r="E58" s="41"/>
      <c r="F58" s="27"/>
    </row>
    <row r="59" spans="1:6" x14ac:dyDescent="0.2">
      <c r="A59" s="57" t="s">
        <v>76</v>
      </c>
      <c r="B59" s="28" t="str">
        <f>"Administrar " &amp;ROUNDUP(IF((B2*0.025)&lt;=1, B2*0.025, 1), 1) &amp; " mL por via IM a cada 8 horas."</f>
        <v>Administrar 0,4 mL por via IM a cada 8 horas.</v>
      </c>
      <c r="D59" s="33"/>
      <c r="E59" s="42"/>
      <c r="F59" s="27"/>
    </row>
    <row r="60" spans="1:6" x14ac:dyDescent="0.2">
      <c r="A60" s="57" t="s">
        <v>77</v>
      </c>
      <c r="B60" s="28" t="str">
        <f>"Administrar " &amp;ROUND(IF(B2 / 20 &gt; 2, 2, B2 / 20), 1) &amp; " mL por via EV a cada 12 horas"</f>
        <v>Administrar 0,7 mL por via EV a cada 12 horas</v>
      </c>
      <c r="D60" s="33"/>
      <c r="E60" s="42"/>
      <c r="F60" s="27"/>
    </row>
    <row r="61" spans="1:6" x14ac:dyDescent="0.2">
      <c r="A61" s="170" t="s">
        <v>78</v>
      </c>
      <c r="B61" s="60"/>
      <c r="D61" s="33"/>
      <c r="E61" s="42"/>
      <c r="F61" s="27"/>
    </row>
    <row r="62" spans="1:6" x14ac:dyDescent="0.2">
      <c r="A62" s="57" t="s">
        <v>79</v>
      </c>
      <c r="B62" s="28" t="str">
        <f>"Tomar " &amp;ROUND(IF(B2&lt;=40, IF((B2*0.7)&lt;=((B2*2)/3), IF((B2*0.7)/2&lt;=12.5, (B2*0.7)/2, 12.5), IF((B2*2)/6&lt;=12.5, (B2*2)/6, 12.5)), IF((B2*0.7)&lt;=100/3, IF((B2*0.7)/2&lt;=12.5, (B2*0.7)/2, 12.5), IF(100/6&lt;=12.5, 100/6, 12.5))), 1) &amp; " mL por via oral de 8/8 horas."</f>
        <v>Tomar 4,8 mL por via oral de 8/8 horas.</v>
      </c>
      <c r="D62" s="33"/>
      <c r="E62" s="42"/>
      <c r="F62" s="27"/>
    </row>
    <row r="63" spans="1:6" x14ac:dyDescent="0.2">
      <c r="A63" s="57" t="s">
        <v>80</v>
      </c>
      <c r="B63" s="28" t="str">
        <f>"Tomar " &amp;ROUND(IF(B1&lt;=0.92, 2, IF(B1&lt;=5, 2.5, IF(B1&lt;=11, 5, 10))), 1) &amp; " mL por via oral uma vez ao dia."</f>
        <v>Tomar 2,5 mL por via oral uma vez ao dia.</v>
      </c>
      <c r="D63" s="33"/>
      <c r="E63" s="34"/>
      <c r="F63" s="27"/>
    </row>
    <row r="64" spans="1:6" x14ac:dyDescent="0.2">
      <c r="A64" s="57" t="s">
        <v>81</v>
      </c>
      <c r="B64" s="28" t="str">
        <f>"Tomar " &amp;ROUND(IF(B1&lt;=2, 2.5, IF(B1&lt;=11, 5, 5)), 1) &amp; " mL por via oral de 12/12 horas."</f>
        <v>Tomar 2,5 mL por via oral de 12/12 horas.</v>
      </c>
      <c r="D64" s="33"/>
      <c r="E64" s="34"/>
      <c r="F64" s="27"/>
    </row>
    <row r="65" spans="1:6" x14ac:dyDescent="0.2">
      <c r="A65" s="57" t="s">
        <v>82</v>
      </c>
      <c r="B65" s="28" t="str">
        <f>"Tomar " &amp; ROUND(IF(B2*0.1&lt;=3,(B2*0.1)/(2/5),3/(2/5)),1) &amp; " mL por via oral de 8/8 horas."</f>
        <v>Tomar 3,6 mL por via oral de 8/8 horas.</v>
      </c>
      <c r="D65" s="33"/>
      <c r="E65" s="34"/>
      <c r="F65" s="27"/>
    </row>
    <row r="66" spans="1:6" x14ac:dyDescent="0.2">
      <c r="A66" s="57" t="s">
        <v>83</v>
      </c>
      <c r="B66" s="28" t="str">
        <f>"Tomar " &amp; ROUND(IF(B2*0.2&lt;=5,B2*0.2,5)/1,1) &amp; " mL por via oral, uma vez ao dia."</f>
        <v>Tomar 2,9 mL por via oral, uma vez ao dia.</v>
      </c>
      <c r="D66" s="33"/>
      <c r="E66" s="32"/>
      <c r="F66" s="27"/>
    </row>
    <row r="67" spans="1:6" ht="15.75" customHeight="1" x14ac:dyDescent="0.2">
      <c r="A67" s="57" t="s">
        <v>84</v>
      </c>
      <c r="B67" s="28" t="str">
        <f>"Tomar " &amp; ROUND(IF(B2*0.1&lt;=3,(B2*0.1)/(2/5),3/(2/5)),1) &amp; " mL por via oral de 8/8 horas."</f>
        <v>Tomar 3,6 mL por via oral de 8/8 horas.</v>
      </c>
      <c r="D67" s="33"/>
      <c r="E67" s="34"/>
      <c r="F67" s="27"/>
    </row>
    <row r="68" spans="1:6" x14ac:dyDescent="0.2">
      <c r="A68" s="57" t="s">
        <v>85</v>
      </c>
      <c r="B68" s="28" t="str">
        <f>"Administrar " &amp;ROUND(IF(((B2*0.3)/25)&lt;=2, (B2*0.3)/25, 2), 1) &amp; " mL por via IM a cada 6 horas."</f>
        <v>Administrar 0,2 mL por via IM a cada 6 horas.</v>
      </c>
      <c r="D68" s="33"/>
      <c r="E68" s="34"/>
      <c r="F68" s="27"/>
    </row>
    <row r="69" spans="1:6" x14ac:dyDescent="0.2">
      <c r="A69" s="57" t="s">
        <v>86</v>
      </c>
      <c r="B69" s="28" t="str">
        <f>"Administrar " &amp;ROUND(IF(B2*0.03 &lt;= 300/3/50, B2*0.03, 300/3/50), 1) &amp; " mL por via IM a cada 8 horas."</f>
        <v>Administrar 0,4 mL por via IM a cada 8 horas.</v>
      </c>
      <c r="D69" s="33"/>
      <c r="E69" s="34"/>
      <c r="F69" s="27"/>
    </row>
    <row r="70" spans="1:6" x14ac:dyDescent="0.2">
      <c r="A70" s="170" t="s">
        <v>87</v>
      </c>
      <c r="B70" s="60"/>
      <c r="D70" s="33"/>
      <c r="E70" s="34"/>
      <c r="F70" s="27"/>
    </row>
    <row r="71" spans="1:6" x14ac:dyDescent="0.2">
      <c r="A71" s="57" t="s">
        <v>88</v>
      </c>
      <c r="B71" s="28" t="str">
        <f>"Tomar " &amp; ROUND(IF((B2*1)&lt;=40, IF(((B2*1)/1)/(3/1)&lt;=14, ((B2*1)/1)/(3/1), 14), IF((40/1)/(3/1)&lt;=14, (40/1)/(3/1), 14)), 1) &amp; " mL por via oral de 24/24 horas. Por 5 dias."</f>
        <v>Tomar 4,8 mL por via oral de 24/24 horas. Por 5 dias.</v>
      </c>
      <c r="D71" s="33"/>
      <c r="E71" s="34"/>
      <c r="F71" s="27"/>
    </row>
    <row r="72" spans="1:6" x14ac:dyDescent="0.2">
      <c r="A72" s="111" t="s">
        <v>89</v>
      </c>
      <c r="B72" s="43" t="str">
        <f>"Tomar " &amp; ROUND(IF((B2*0.025)&lt;=12, IF(((B2*0.025)/1)/(0.5/5)&lt;=15, ((B2*0.025)/1)/(0.5/5), 15), IF((12/3)/(0.5/5)&lt;=15, (12/3)/(0.5/5), 15)), 1) &amp; " mL por via oral de 24/24 horas. Por 5 dias."</f>
        <v>Tomar 3,6 mL por via oral de 24/24 horas. Por 5 dias.</v>
      </c>
      <c r="D72" s="33"/>
      <c r="E72" s="32"/>
      <c r="F72" s="27"/>
    </row>
    <row r="73" spans="1:6" x14ac:dyDescent="0.2">
      <c r="A73" s="170" t="s">
        <v>90</v>
      </c>
      <c r="B73" s="60"/>
      <c r="C73" s="27"/>
      <c r="D73" s="33"/>
      <c r="E73" s="34"/>
      <c r="F73" s="27"/>
    </row>
    <row r="74" spans="1:6" ht="27.75" x14ac:dyDescent="0.2">
      <c r="A74" s="57" t="s">
        <v>91</v>
      </c>
      <c r="B74" s="28" t="str">
        <f>"Reconstituir "&amp;ROUND(IF((B2*4)/100&lt;1,1,(B2*4)/100),0)&amp;" frasco(s) com "&amp;ROUND(IF((B2*4)/100&lt;1,1,(B2*4)/100),0)*2&amp;" mL de AD. Administrar "&amp;ROUND(IF((B2*4)&lt;=8*B2,(B2*4)/50,(8*B2)/50),1)&amp;" mL por via IM ou EV diluído em 50 mL de SF 0,9% ou SG 5% a cada 6 horas."</f>
        <v>Reconstituir 1 frasco(s) com 2 mL de AD. Administrar 1,1 mL por via IM ou EV diluído em 50 mL de SF 0,9% ou SG 5% a cada 6 horas.</v>
      </c>
      <c r="D74" s="33"/>
      <c r="E74" s="34"/>
      <c r="F74" s="27"/>
    </row>
    <row r="75" spans="1:6" ht="27.75" x14ac:dyDescent="0.2">
      <c r="A75" s="57" t="s">
        <v>92</v>
      </c>
      <c r="B75" s="28" t="str">
        <f>"Reconstituir "&amp;ROUND(IF((B2*4)/500&lt;1,1,(B2*4)/500),0)&amp;" frasco(s) com "&amp;ROUND(IF((B2*4)/500&lt;1,1,(B2*4)/500),0)*5&amp;" mL de AD. Administrar "&amp;ROUNDUP(IF((B2*4)&lt;=8*B2,(B2*4)/100,(8*B2)/100),1)&amp;" mL por via IM ou (EV diluído em 50 mL de SF 0,9% ou SG 5%), a cada 6 horas."</f>
        <v>Reconstituir 1 frasco(s) com 5 mL de AD. Administrar 0,6 mL por via IM ou (EV diluído em 50 mL de SF 0,9% ou SG 5%), a cada 6 horas.</v>
      </c>
      <c r="D75" s="33"/>
      <c r="E75" s="34"/>
      <c r="F75" s="27"/>
    </row>
    <row r="76" spans="1:6" ht="41.25" x14ac:dyDescent="0.2">
      <c r="A76" s="57" t="s">
        <v>93</v>
      </c>
      <c r="B76" s="28" t="str">
        <f>"Reconstituir "&amp;ROUND(IF((B2*1)/125&lt;1,1,(B2*1)/125),0)&amp;" frasco(s) com "&amp;ROUND(IF((B2*1)/125&lt;1,1,(B2*1)/125),0)*2&amp;" mL de AD. Administrar "&amp;ROUNDUP(IF((B2*1)&lt;=125,(B2*1)/62.5,125/62.5),1)&amp;" mL por via IM ou (EV diluído em 50 mL de SF 0,9% ou SG 5%), a cada 6 horas. (Correr em 30 minutos)."</f>
        <v>Reconstituir 1 frasco(s) com 2 mL de AD. Administrar 0,3 mL por via IM ou (EV diluído em 50 mL de SF 0,9% ou SG 5%), a cada 6 horas. (Correr em 30 minutos).</v>
      </c>
      <c r="C76" s="126"/>
      <c r="D76" s="33"/>
      <c r="E76" s="34"/>
      <c r="F76" s="27"/>
    </row>
    <row r="77" spans="1:6" ht="41.25" x14ac:dyDescent="0.2">
      <c r="A77" s="86" t="s">
        <v>94</v>
      </c>
      <c r="B77" s="55" t="str">
        <f>"Dose de ataque:  " &amp; ROUND(IF(B2 * 1.5 / 40 &lt;= 1, B2 * 1.5 / 40, 1), 2) &amp; " ML + " &amp; ROUND(10 - IF(B2 * 1.5 / 40 &lt;= 1, B2 * 1.5 / 40, 1), 2) &amp; " mL de SF 0,9%, Administrar por via EV em infusão lenta | Dose de manutençao: " &amp; ROUND(IF(B2 * 0.75 / 40 &lt;= 1, B2 * 0.75 / 40, 1), 2) &amp; " ML + " &amp; ROUND(10 - IF(B2 * 0.75 / 40 &lt;= 1, B2 * 0.75 / 40, 1), 2) &amp; " mL de SF 0,9%, Administrar por via EV em infusão lenta. A cada 6/6 horas."</f>
        <v>Dose de ataque:  0,54 ML + 9,46 mL de SF 0,9%, Administrar por via EV em infusão lenta | Dose de manutençao: 0,27 ML + 9,73 mL de SF 0,9%, Administrar por via EV em infusão lenta. A cada 6/6 horas.</v>
      </c>
      <c r="C77" s="126"/>
      <c r="D77" s="33"/>
      <c r="E77" s="34"/>
      <c r="F77" s="27"/>
    </row>
    <row r="78" spans="1:6" ht="41.25" x14ac:dyDescent="0.2">
      <c r="A78" s="57" t="s">
        <v>95</v>
      </c>
      <c r="B78" s="55" t="str">
        <f>"Administrar " &amp; ROUNDUP(IF(B2*25&lt;=2000,B2*25,2000)/500,1) &amp; " mL diluído em " &amp; IF(B2*25&lt;=2000,"60","100") &amp; " mL de SF 0,9%. Administrar por via EV em infusão lenta por 30 minutos. (Necessita de internação para realização deste medicamento)."</f>
        <v>Administrar 0,8 mL diluído em 60 mL de SF 0,9%. Administrar por via EV em infusão lenta por 30 minutos. (Necessita de internação para realização deste medicamento).</v>
      </c>
      <c r="C78" s="48"/>
      <c r="D78" s="33"/>
      <c r="E78" s="34"/>
      <c r="F78" s="27"/>
    </row>
    <row r="79" spans="1:6" ht="41.25" x14ac:dyDescent="0.2">
      <c r="A79" s="110" t="s">
        <v>96</v>
      </c>
      <c r="B79" s="55" t="str">
        <f>"Administrar " &amp; ROUNDUP(IF(B2*25&lt;=2000,B2*25,2000)/100,1) &amp; " mL  diluído em " &amp; IF(B2*25&lt;=2000,"60","100") &amp; " mL de SF 0,9%. Administrar por via EV em infusão lenta por 30 minutos. (Necessita de internação para realização deste medicamento)."</f>
        <v>Administrar 3,6 mL  diluído em 60 mL de SF 0,9%. Administrar por via EV em infusão lenta por 30 minutos. (Necessita de internação para realização deste medicamento).</v>
      </c>
      <c r="C79" s="35"/>
      <c r="D79" s="33"/>
      <c r="E79" s="34"/>
      <c r="F79" s="27"/>
    </row>
    <row r="80" spans="1:6" ht="41.25" x14ac:dyDescent="0.2">
      <c r="A80" s="57" t="s">
        <v>97</v>
      </c>
      <c r="B80" s="28" t="str">
        <f>"Dose de ataque: " &amp; ROUND(IF((B2*0.6)&lt;=12,B2*0.6,12)/4,1) &amp; " mL  por via IM, uma vez por dia ou (EV Diluir em 50 mL de SF 0,9%. Administrar em 30 minutos)  |  Dose de manutenção: " &amp; ROUND(IF((B2*0.15)&lt;=10,B2*0.15,10)/4,1) &amp; " mL por via IM ou (EV Diluir em 50 mL de SF 0,9%)."</f>
        <v>Dose de ataque: 2,1 mL  por via IM, uma vez por dia ou (EV Diluir em 50 mL de SF 0,9%. Administrar em 30 minutos)  |  Dose de manutenção: 0,5 mL por via IM ou (EV Diluir em 50 mL de SF 0,9%).</v>
      </c>
      <c r="C80" s="40"/>
      <c r="D80" s="33"/>
      <c r="E80" s="32"/>
      <c r="F80" s="27"/>
    </row>
    <row r="81" spans="1:6" ht="27.75" x14ac:dyDescent="0.2">
      <c r="A81" s="57" t="s">
        <v>98</v>
      </c>
      <c r="B81" s="28" t="str">
        <f>"Administrar " &amp; ROUND(IF((B2*0.6)&lt;=12,B2*0.6,12)/2,1) &amp; " mL uma vez ao dia por via IM puro ou (EV diluir em 50 mL de SF 0,9%, administrar em 30 minutos)"</f>
        <v>Administrar 4,3 mL uma vez ao dia por via IM puro ou (EV diluir em 50 mL de SF 0,9%, administrar em 30 minutos)</v>
      </c>
      <c r="C81" s="39"/>
      <c r="D81" s="33"/>
      <c r="E81" s="34"/>
      <c r="F81" s="27"/>
    </row>
    <row r="82" spans="1:6" x14ac:dyDescent="0.2">
      <c r="A82" s="170" t="s">
        <v>99</v>
      </c>
      <c r="B82" s="60"/>
      <c r="C82" s="127"/>
      <c r="D82" s="31"/>
      <c r="E82" s="32"/>
      <c r="F82" s="27"/>
    </row>
    <row r="83" spans="1:6" ht="41.25" x14ac:dyDescent="0.2">
      <c r="A83" s="57" t="s">
        <v>100</v>
      </c>
      <c r="B83" s="28" t="str">
        <f>"Administrar " &amp; ROUND(IF(B2*0.01&lt;=0.3,B2*0.01,0.3),2)/1 &amp; " mL (Puro), por via IM em vasto lateral da coxa. Pode repetir até 3 vezes no total, com intervalo de 15 minutos entre as administrações."</f>
        <v>Administrar 0,14 mL (Puro), por via IM em vasto lateral da coxa. Pode repetir até 3 vezes no total, com intervalo de 15 minutos entre as administrações.</v>
      </c>
      <c r="C83" s="27"/>
      <c r="D83" s="33"/>
      <c r="E83" s="34"/>
      <c r="F83" s="27"/>
    </row>
    <row r="84" spans="1:6" x14ac:dyDescent="0.2">
      <c r="A84" s="170" t="s">
        <v>101</v>
      </c>
      <c r="B84" s="60"/>
      <c r="C84" s="27"/>
      <c r="D84" s="33"/>
      <c r="E84" s="34"/>
      <c r="F84" s="27"/>
    </row>
    <row r="85" spans="1:6" ht="41.25" x14ac:dyDescent="0.2">
      <c r="A85" s="57" t="s">
        <v>102</v>
      </c>
      <c r="B85" s="55" t="str">
        <f>"Administrar "&amp;ROUND(IF(B2 * 1 / 4 / 10 &lt;= 2, B2 * 1 / 4 / 10, 2), 2) &amp; " mL por via EV a cada 6 horas | Administrar " &amp; ROUND(IF(B2 * 1 / 3 / 10 &lt;= 2, B2 * 1 / 3 / 10, 2), 2) &amp; " mL por via EV a cada 8 horas | Administrar " &amp; ROUND(IF(B2 * 1 / 2 / 10 &lt;= 2, B2 * 1 / 2 / 10, 2), 2) &amp; " mL por via EV a cada 12 horas | Pode aumentar ate 5 vezes cada resultado, se necessário."</f>
        <v>Administrar 0,36 mL por via EV a cada 6 horas | Administrar 0,48 mL por via EV a cada 8 horas | Administrar 0,72 mL por via EV a cada 12 horas | Pode aumentar ate 5 vezes cada resultado, se necessário.</v>
      </c>
      <c r="C85" s="27"/>
      <c r="D85" s="33"/>
      <c r="E85" s="34"/>
      <c r="F85" s="27"/>
    </row>
    <row r="86" spans="1:6" x14ac:dyDescent="0.2">
      <c r="A86" s="112" t="s">
        <v>103</v>
      </c>
      <c r="B86" s="60"/>
      <c r="D86" s="33"/>
      <c r="E86" s="34"/>
      <c r="F86" s="27"/>
    </row>
    <row r="87" spans="1:6" ht="27.75" x14ac:dyDescent="0.2">
      <c r="A87" s="113" t="s">
        <v>104</v>
      </c>
      <c r="B87" s="28" t="str">
        <f>"Diluir 1 Ampola(s) em 9 mL de SF 0,9%. Administrar " &amp; ROUND(IF((B2/10)&lt;=10, B2/10, 10), 2) &amp; " mL da mistura por via EV em bolus de 3 a 5 minutos."</f>
        <v>Diluir 1 Ampola(s) em 9 mL de SF 0,9%. Administrar 1,43 mL da mistura por via EV em bolus de 3 a 5 minutos.</v>
      </c>
      <c r="C87" s="27"/>
      <c r="D87" s="33"/>
      <c r="E87" s="34"/>
      <c r="F87" s="27"/>
    </row>
    <row r="88" spans="1:6" ht="27.75" x14ac:dyDescent="0.2">
      <c r="A88" s="113" t="s">
        <v>105</v>
      </c>
      <c r="B88" s="55" t="str">
        <f>"Administrar " &amp; ROUND(IF(B2*5&lt;=IF(B2*10&lt;=300,B2*10,300),B2*5,IF(B2*10&lt;=300,B2*10,300))/50,2) &amp; " mL por via EV em bolus sem diluição. (Pode ser repetida até no máximo 3 vezes)."</f>
        <v>Administrar 1,43 mL por via EV em bolus sem diluição. (Pode ser repetida até no máximo 3 vezes).</v>
      </c>
      <c r="C88" s="27"/>
      <c r="D88" s="33"/>
      <c r="E88" s="34"/>
      <c r="F88" s="27"/>
    </row>
    <row r="89" spans="1:6" x14ac:dyDescent="0.2">
      <c r="A89" s="113" t="s">
        <v>106</v>
      </c>
      <c r="B89" s="55" t="str">
        <f>"Administrar " &amp; ROUND(IF(B2*60&lt;=3000,B2*60,3000)/100,2) &amp; " mL por via EV em bolus lento, puro."</f>
        <v>Administrar 8,58 mL por via EV em bolus lento, puro.</v>
      </c>
      <c r="C89" s="27"/>
      <c r="D89" s="33"/>
      <c r="E89" s="34"/>
      <c r="F89" s="27"/>
    </row>
    <row r="90" spans="1:6" x14ac:dyDescent="0.2">
      <c r="A90" s="113" t="s">
        <v>107</v>
      </c>
      <c r="B90" s="55" t="str">
        <f>"Administrar " &amp; ROUND(IF(B2*1&lt;=IF(B2*3&lt;=75,B2*3,75),B2*1,IF(B2*3&lt;=75,B2*3,75))/20,2) &amp; " mL por via EV em bolus lento."</f>
        <v>Administrar 0,72 mL por via EV em bolus lento.</v>
      </c>
      <c r="C90" s="27"/>
      <c r="D90" s="33"/>
      <c r="E90" s="34"/>
      <c r="F90" s="27"/>
    </row>
    <row r="91" spans="1:6" ht="27.75" x14ac:dyDescent="0.2">
      <c r="A91" s="113" t="s">
        <v>108</v>
      </c>
      <c r="B91" s="55" t="str">
        <f>"Diluir " &amp; ROUNDUP(B2,1) &amp; " mL de Bicarbonato de Sódio 8,4% + " &amp; ROUNDUP(B2,1) &amp; " mL de SF 0,9%. Administrar " &amp; ROUNDUP(B2*2,1) &amp; " mL por via EV em bolus lento."</f>
        <v>Diluir 14,3 mL de Bicarbonato de Sódio 8,4% + 14,3 mL de SF 0,9%. Administrar 28,6 mL por via EV em bolus lento.</v>
      </c>
      <c r="C91" s="27"/>
      <c r="D91" s="33"/>
      <c r="E91" s="34"/>
      <c r="F91" s="27"/>
    </row>
    <row r="92" spans="1:6" x14ac:dyDescent="0.2">
      <c r="A92" s="113" t="s">
        <v>109</v>
      </c>
      <c r="B92" s="55" t="str">
        <f>"Administrar " &amp; ROUNDUP(B2*0.5/0.1,1) &amp; " mL de Glicose 10% por via EV em bolus."</f>
        <v>Administrar 71,5 mL de Glicose 10% por via EV em bolus.</v>
      </c>
      <c r="C92" s="27"/>
      <c r="D92" s="33"/>
      <c r="E92" s="34"/>
      <c r="F92" s="27"/>
    </row>
    <row r="93" spans="1:6" ht="27.75" x14ac:dyDescent="0.2">
      <c r="A93" s="113" t="s">
        <v>110</v>
      </c>
      <c r="B93" s="55" t="str">
        <f>"Diluir " &amp; ROUNDUP(B2*0.5/0.125/2,1) &amp; " mL de Glicose 25% + " &amp; ROUNDUP(B2*0.5/0.125/2,1) &amp; " mL de água destilada. Administrar " &amp; ROUNDUP(B2*0.5/0.125,1) &amp; " mL por via EV em bolus."</f>
        <v>Diluir 28,6 mL de Glicose 25% + 28,6 mL de água destilada. Administrar 57,2 mL por via EV em bolus.</v>
      </c>
      <c r="C93" s="27"/>
      <c r="D93" s="33"/>
      <c r="E93" s="34"/>
      <c r="F93" s="27"/>
    </row>
    <row r="94" spans="1:6" ht="27.75" x14ac:dyDescent="0.2">
      <c r="A94" s="113" t="s">
        <v>111</v>
      </c>
      <c r="B94" s="55" t="str">
        <f>"Diluir " &amp; ROUNDUP(B2*0.5/0.125/4,1) &amp; " mL de Glicose 50% + " &amp; ROUNDUP(B2*0.5/0.125/4*3,1) &amp; " mL de água destilada. Administrar " &amp; ROUNDUP(B2*0.5/0.125,1) &amp; " mL por via EV em bolus."</f>
        <v>Diluir 14,3 mL de Glicose 50% + 42,9 mL de água destilada. Administrar 57,2 mL por via EV em bolus.</v>
      </c>
      <c r="C94" s="27"/>
      <c r="D94" s="33"/>
      <c r="E94" s="34"/>
      <c r="F94" s="27"/>
    </row>
    <row r="95" spans="1:6" x14ac:dyDescent="0.2">
      <c r="A95" s="114" t="s">
        <v>112</v>
      </c>
      <c r="B95" s="60"/>
      <c r="C95" s="27"/>
      <c r="D95" s="33"/>
      <c r="E95" s="34"/>
      <c r="F95" s="27"/>
    </row>
    <row r="96" spans="1:6" ht="54.75" x14ac:dyDescent="0.2">
      <c r="A96" s="110" t="s">
        <v>113</v>
      </c>
      <c r="B96" s="55" t="str">
        <f>"Primeira dose: Administrar " &amp; ROUNDUP(IF(B2*0.1&lt;=6,B2*0.1,6)/3,2) &amp; " mL por via EV, em bolus. Após, fazer 20 mL de SF 0,9% em bolus utilizando o (Three Way) | Segunda dose: Administrar " &amp; ROUNDUP(IF(B2*0.2&lt;=12,B2*0.2,12)/3,2) &amp; " mL por via EV, em bolus. Após, fazer 20 mL de SF 0,9% em bolus utilizando o (Three Way)."</f>
        <v>Primeira dose: Administrar 0,48 mL por via EV, em bolus. Após, fazer 20 mL de SF 0,9% em bolus utilizando o (Three Way) | Segunda dose: Administrar 0,96 mL por via EV, em bolus. Após, fazer 20 mL de SF 0,9% em bolus utilizando o (Three Way).</v>
      </c>
      <c r="C96" s="27"/>
      <c r="D96" s="33"/>
      <c r="E96" s="34"/>
      <c r="F96" s="27"/>
    </row>
    <row r="97" spans="1:6" x14ac:dyDescent="0.2">
      <c r="A97" s="114" t="s">
        <v>114</v>
      </c>
      <c r="B97" s="60"/>
      <c r="C97" s="27"/>
      <c r="D97" s="33"/>
      <c r="E97" s="34"/>
      <c r="F97" s="27"/>
    </row>
    <row r="98" spans="1:6" ht="41.25" x14ac:dyDescent="0.2">
      <c r="A98" s="110" t="s">
        <v>115</v>
      </c>
      <c r="B98" s="55" t="str">
        <f>"Reconstituir "&amp;ROUNDUP(MIN(B2*15,750)/250,0)&amp;" frasco(s) com "&amp;ROUNDUP(MIN(B2*15,750)/250,0)*10&amp;" mL de AD. Diluir "&amp;ROUNDUP(MIN(B2*15,750)/25,1)&amp;" mL da solução reconstituida com "&amp;ROUNDUP((MIN(B2*15,750)/7)-ROUNDUP(MIN(B2*15,750)/25,2),1)&amp;" mL de SF 0,9%. Infundir por via EV a "&amp;ROUNDUP((MIN(B2*15,750)/7)/1,1)&amp;" mL/hora. Administrar de 8/8 horas. Por 7 a 21 dias.(15mg/kg/dose)"</f>
        <v>Reconstituir 1 frasco(s) com 10 mL de AD. Diluir 8,6 mL da solução reconstituida com 22,1 mL de SF 0,9%. Infundir por via EV a 30,7 mL/hora. Administrar de 8/8 horas. Por 7 a 21 dias.(15mg/kg/dose)</v>
      </c>
      <c r="C98" s="27"/>
      <c r="D98" s="33"/>
      <c r="E98" s="34"/>
      <c r="F98" s="27"/>
    </row>
    <row r="99" spans="1:6" ht="41.25" x14ac:dyDescent="0.2">
      <c r="A99" s="116" t="s">
        <v>115</v>
      </c>
      <c r="B99" s="106" t="str">
        <f>"Reconstituir "&amp;ROUNDUP(MIN(B2*10,750)/250,0)&amp;" frasco(s) com "&amp;ROUNDUP(MIN(B2*10,750)/250,0)*10&amp;" mL de AD. Diluir "&amp;ROUNDUP(MIN(B2*10,750)/25,1)&amp;" mL da solução reconstituida com "&amp;ROUNDUP((MIN(B2*10,750)/7)-ROUNDUP(MIN(B2*10,750)/25,2),1)&amp;" mL de SF 0,9%. Infundir por via EV a "&amp;ROUNDUP((MIN(B2*10,750)/7)/1,1)&amp;" mL/hora. Administrar de 8/8 horas. Por 7 a 21 dias.(10mg/kg/dose)"</f>
        <v>Reconstituir 1 frasco(s) com 10 mL de AD. Diluir 5,8 mL da solução reconstituida com 14,8 mL de SF 0,9%. Infundir por via EV a 20,5 mL/hora. Administrar de 8/8 horas. Por 7 a 21 dias.(10mg/kg/dose)</v>
      </c>
      <c r="C99" s="27"/>
      <c r="D99" s="33"/>
      <c r="E99" s="34"/>
      <c r="F99" s="27"/>
    </row>
    <row r="100" spans="1:6" x14ac:dyDescent="0.2">
      <c r="A100" s="115" t="s">
        <v>116</v>
      </c>
      <c r="B100" s="60"/>
      <c r="C100" s="33"/>
      <c r="D100" s="33"/>
      <c r="E100" s="34"/>
      <c r="F100" s="27"/>
    </row>
    <row r="101" spans="1:6" ht="41.25" x14ac:dyDescent="0.2">
      <c r="A101" s="57" t="s">
        <v>117</v>
      </c>
      <c r="B101" s="28" t="str">
        <f>"Reconstituir "&amp;IF((B2*100)&gt;2000,ROUNDUP(MIN(B2*100/2,2000)/1000,0),ROUNDUP(MIN(B2*100,4000)/1000,0))&amp;" frasco(s) com "&amp;IF((B2*100)&gt;2000,ROUNDUP(MIN(B2*100/2,2000)/1000,0),ROUNDUP(MIN(B2*100,4000)/1000,0))*5&amp;" mL de AD. Administrar "&amp;IF((B2*100)&gt;2000,ROUND(MIN(B2*100/2,2000)/200,1),ROUND(MIN(B2*100,4000)/200,1))&amp;" mL por via EV diluído em 100 mL de SF 0,9% "&amp;IF((B2*100)&gt;2000,"a cada 12/12 horas","a cada 24/24 horas")&amp;". Infundir em 60 minutos.(100mg/kg/dia)."</f>
        <v>Reconstituir 2 frasco(s) com 10 mL de AD. Administrar 7,2 mL por via EV diluído em 100 mL de SF 0,9% a cada 24/24 horas. Infundir em 60 minutos.(100mg/kg/dia).</v>
      </c>
      <c r="C101" s="27"/>
      <c r="D101" s="33"/>
      <c r="E101" s="32"/>
      <c r="F101" s="27"/>
    </row>
    <row r="102" spans="1:6" ht="41.25" x14ac:dyDescent="0.2">
      <c r="A102" s="116" t="s">
        <v>117</v>
      </c>
      <c r="B102" s="106" t="str">
        <f>"Reconstituir "&amp;IF((B2*50)&gt;2000,ROUNDUP(MIN(B2*50/2,2000)/1000,0),ROUNDUP(MIN(B2*50,4000)/1000,0))&amp;" frasco(s) com "&amp;IF((B2*50)&gt;2000,ROUNDUP(MIN(B2*50/2,2000)/1000,0),ROUNDUP(MIN(B2*50,4000)/1000,0))*5&amp;" mL de AD. Administrar "&amp;IF((B2*50)&gt;2000,ROUND(MIN(B2*50/2,2000)/200,1),ROUND(MIN(B2*50,4000)/200,1))&amp;" mL por via EV diluído em 100 mL de SF 0,9% "&amp;IF((B2*50)&gt;2000,"a cada 12/12 horas","a cada 24/24 horas")&amp;". Infundir em 60 minutos.(50mg/kg/dia)."</f>
        <v>Reconstituir 1 frasco(s) com 5 mL de AD. Administrar 3,6 mL por via EV diluído em 100 mL de SF 0,9% a cada 24/24 horas. Infundir em 60 minutos.(50mg/kg/dia).</v>
      </c>
      <c r="C102" s="27"/>
      <c r="D102" s="33"/>
      <c r="E102" s="32"/>
      <c r="F102" s="27"/>
    </row>
    <row r="103" spans="1:6" ht="27.75" x14ac:dyDescent="0.2">
      <c r="A103" s="109" t="s">
        <v>118</v>
      </c>
      <c r="B103" s="55" t="str">
        <f>"Administrar "&amp;ROUNDUP(MIN(B2*15,1500)/50/3,1)&amp;" mL diluído em "&amp;IF(ROUNDUP(MIN(B2*15,1500)/50/3,1)&lt;=20,"50 mL","100 mL")&amp;" de SF 0,9% por via EV de 8/8 horas. Infundir em "&amp;IF(ROUNDUP(MIN(B2*15,1500)/50/3,1)&lt;=20,"30 minutos","60 minutos")&amp;"."</f>
        <v>Administrar 1,5 mL diluído em 50 mL de SF 0,9% por via EV de 8/8 horas. Infundir em 30 minutos.</v>
      </c>
      <c r="C103" s="27"/>
      <c r="D103" s="33"/>
      <c r="E103" s="34"/>
      <c r="F103" s="27"/>
    </row>
    <row r="104" spans="1:6" ht="27.75" x14ac:dyDescent="0.2">
      <c r="A104" s="57" t="s">
        <v>119</v>
      </c>
      <c r="B104" s="55" t="str">
        <f>"Administrar "&amp;ROUNDUP(MIN(B2*15,1500)/125/3,1)&amp;" mL diluído em "&amp;IF(ROUNDUP(MIN(B2*15,1500)/125/3,1)&lt;=20,"50 mL","100 mL")&amp;" de SF 0,9% por via EV de 8/8 horas. Infundir em "&amp;IF(ROUNDUP(MIN(B2*15,1500)/125/3,1)&lt;=20,"30 minutos","60 minutos")&amp;"."</f>
        <v>Administrar 0,6 mL diluído em 50 mL de SF 0,9% por via EV de 8/8 horas. Infundir em 30 minutos.</v>
      </c>
      <c r="C104" s="27"/>
      <c r="D104" s="33"/>
      <c r="E104" s="32"/>
      <c r="F104" s="27"/>
    </row>
    <row r="105" spans="1:6" ht="41.25" x14ac:dyDescent="0.2">
      <c r="A105" s="57" t="s">
        <v>120</v>
      </c>
      <c r="B105" s="55" t="str">
        <f>"Reconstituir 1 frasco(s) com 20 mL de AD. Administrar " &amp; ROUNDUP(IF(B1&lt;=0.3,IF(B2*25&lt;=1000,B2*25,1000)/50,IF(B2*25&lt;=1000,B2*25,1000)/50),1) &amp; " mL diluído em " &amp; IF(B1&lt;=0.3,"50","100") &amp; " mL de SF 0,9%. Infundir por via EV direto " &amp; IF(B1&lt;=0.3,"12/12 horas","8/8 horas") &amp; ".Fazer em 30 minutos."</f>
        <v>Reconstituir 1 frasco(s) com 20 mL de AD. Administrar 7,2 mL diluído em 100 mL de SF 0,9%. Infundir por via EV direto 8/8 horas.Fazer em 30 minutos.</v>
      </c>
      <c r="C105" s="48"/>
      <c r="D105" s="33"/>
      <c r="E105" s="34"/>
      <c r="F105" s="27"/>
    </row>
    <row r="106" spans="1:6" ht="41.25" x14ac:dyDescent="0.2">
      <c r="A106" s="57" t="s">
        <v>121</v>
      </c>
      <c r="B106" s="55" t="str">
        <f>"Reconstituir " &amp; IF(B2*25&lt;=1000,ROUNDUP(IF(B2*25&lt;=500,1,2),0),2) &amp; " frasco(s) com " &amp; IF(B2*25&lt;=1000,ROUNDUP(IF(B2*25&lt;=500,10,20),0),20) &amp; " mL de AD. Administrar " &amp; ROUNDUP(IF(B2*25&lt;=1000,B2*25,1000)/50,1) &amp; " mL diluído em " &amp; IF(B3&lt;=3,"50","100") &amp; " mL de SF 0,9%. Infundir por via EV direto " &amp; IF(B3&lt;=3,"12/12 horas","8/8 horas") &amp; ".Fazer em 30 minutos."</f>
        <v>Reconstituir 1 frasco(s) com 10 mL de AD. Administrar 7,2 mL diluído em 50 mL de SF 0,9%. Infundir por via EV direto 12/12 horas.Fazer em 30 minutos.</v>
      </c>
      <c r="C106" s="48"/>
      <c r="D106" s="33"/>
      <c r="E106" s="34"/>
      <c r="F106" s="27"/>
    </row>
    <row r="107" spans="1:6" ht="41.25" x14ac:dyDescent="0.2">
      <c r="A107" s="57" t="s">
        <v>122</v>
      </c>
      <c r="B107" s="28" t="str">
        <f>"Reconstituir "&amp;ROUNDUP(IF(B2*100&gt;12000,12000,B2*100)/4000,0)&amp;" frasco(s) com "&amp;ROUNDUP(IF(B2*100&gt;12000,12000,B2*100)/4000,0)*3&amp;" mL de AD. Administrar "&amp;ROUND(IF(B2*100&gt;12000,12000/4,B2*100/4)/1000,1)*3&amp;" mL da mistura diluído em 50 a 100 mL de SF 0,9%, SG 5% ou RL por via EV, a cada 6/6 horas. Infundir em 30 minutos."</f>
        <v>Reconstituir 1 frasco(s) com 3 mL de AD. Administrar 1,2 mL da mistura diluído em 50 a 100 mL de SF 0,9%, SG 5% ou RL por via EV, a cada 6/6 horas. Infundir em 30 minutos.</v>
      </c>
      <c r="D107" s="33"/>
      <c r="E107" s="34"/>
      <c r="F107" s="27"/>
    </row>
    <row r="108" spans="1:6" ht="47.25" customHeight="1" x14ac:dyDescent="0.2">
      <c r="A108" s="57" t="s">
        <v>123</v>
      </c>
      <c r="B108" s="28" t="str">
        <f>"Reconstituir " &amp; ROUNDUP(IF(B2*40&gt;2500,2500,B2*40)/1000,0) &amp; " frasco(s) com " &amp; ROUNDUP(IF(B2*40&gt;2500,2500,B2*40)/1000,0)*10 &amp; " mL de água destilada. Administrar " &amp; ROUNDUP(IF(B2*40&gt;2500,2500,B2*40)/100,1) &amp; " mL da solução diluído em 100 mL de SF 0,9%. Infundir por via EV de 6/6 horas. Fazer em 30 minutos."</f>
        <v>Reconstituir 1 frasco(s) com 10 mL de água destilada. Administrar 5,8 mL da solução diluído em 100 mL de SF 0,9%. Infundir por via EV de 6/6 horas. Fazer em 30 minutos.</v>
      </c>
      <c r="D108" s="33"/>
      <c r="E108" s="34"/>
      <c r="F108" s="27"/>
    </row>
    <row r="109" spans="1:6" ht="41.25" x14ac:dyDescent="0.2">
      <c r="A109" s="57" t="s">
        <v>124</v>
      </c>
      <c r="B109" s="28" t="str">
        <f>"Reconstituir "&amp;ROUNDUP(IF(B2*100&gt;12000,12000,B2*100)/2000,0)&amp;" frasco(s) com "&amp;ROUNDUP(IF(B2*100&gt;12000,12000,B2*100)/2000,0)*5&amp;" mL de AD ou SF 0,9%. Administrar "&amp;ROUND(IF(B2*100&gt;12000,12000/4,B2*100/4)/500,1)*5&amp;" mL da mistura diluído em 50 a 100 mL de SF 0,9%, SG 5% ou RL por via EV, a cada 6/6 horas. Infundir em 30 minutos."</f>
        <v>Reconstituir 1 frasco(s) com 5 mL de AD ou SF 0,9%. Administrar 3,5 mL da mistura diluído em 50 a 100 mL de SF 0,9%, SG 5% ou RL por via EV, a cada 6/6 horas. Infundir em 30 minutos.</v>
      </c>
      <c r="C109" s="126"/>
      <c r="D109" s="33"/>
      <c r="E109" s="34"/>
      <c r="F109" s="27"/>
    </row>
    <row r="110" spans="1:6" ht="27.75" x14ac:dyDescent="0.2">
      <c r="A110" s="57" t="s">
        <v>125</v>
      </c>
      <c r="B110" s="28" t="str">
        <f>"Administrar " &amp;ROUND(IF(B1&lt;5,(B2*5)/40,(B2*7.5)/40),1)&amp; " mL diluído em 50 a 100 mL de SF 0,9%, SG 5% ou RL por via EV, a cada 24/24 horas. Infundir em 30 minutos."</f>
        <v>Administrar 1,8 mL diluído em 50 a 100 mL de SF 0,9%, SG 5% ou RL por via EV, a cada 24/24 horas. Infundir em 30 minutos.</v>
      </c>
      <c r="C110" s="27"/>
      <c r="D110" s="33"/>
      <c r="E110" s="27"/>
      <c r="F110" s="27"/>
    </row>
    <row r="111" spans="1:6" ht="27.75" x14ac:dyDescent="0.2">
      <c r="A111" s="57" t="s">
        <v>126</v>
      </c>
      <c r="B111" s="28" t="str">
        <f>"Administrar "&amp;ROUND(IF(B2*40&gt;2700,2700/3,B2*40/3)/150,1)&amp;" mL diluído em 50 a 100 mL de SF 0,9%, SG 5% ou RL por via EV, a cada 8/8 horas. Infundir em 30 minutos."</f>
        <v>Administrar 1,3 mL diluído em 50 a 100 mL de SF 0,9%, SG 5% ou RL por via EV, a cada 8/8 horas. Infundir em 30 minutos.</v>
      </c>
      <c r="C111" s="27"/>
      <c r="D111" s="33"/>
      <c r="E111" s="27"/>
      <c r="F111" s="27"/>
    </row>
    <row r="112" spans="1:6" ht="41.25" x14ac:dyDescent="0.2">
      <c r="A112" s="57" t="s">
        <v>127</v>
      </c>
      <c r="B112" s="28" t="str">
        <f>"Reconstituir " &amp;ROUNDUP(IF(B2*10&gt;2000,2000,B2*10)/500,0)&amp;" frasco(s) com " &amp; ROUNDUP(IF(B2*10&gt;2000,2000,B2*10)/500,0)*5 &amp; " mL de AD. Administrar "&amp;ROUND(IF(B2*10&gt;2000,2000,B2*10)/500,1)*5&amp;" mL da mistura diluído em 100 mL de SF 0,9% por via EV, a cada 6/6 horas. Infundir em 60 minutos."</f>
        <v>Reconstituir 1 frasco(s) com 5 mL de AD. Administrar 1,5 mL da mistura diluído em 100 mL de SF 0,9% por via EV, a cada 6/6 horas. Infundir em 60 minutos.</v>
      </c>
      <c r="C112" s="27"/>
      <c r="D112" s="33"/>
      <c r="E112" s="27"/>
      <c r="F112" s="27"/>
    </row>
    <row r="113" spans="1:6" ht="41.25" x14ac:dyDescent="0.2">
      <c r="A113" s="57" t="s">
        <v>128</v>
      </c>
      <c r="B113" s="28" t="str">
        <f>"Reconstituir "&amp;ROUNDUP(IF(B2*40*3&gt;6000,6000,B2*40*3)/1500,0)&amp;" frasco(s) com "&amp;ROUNDUP(IF(B2*40*3&gt;6000,6000,B2*40*3)/1500,0)*5&amp;" mL de AD. Administrar "&amp;ROUNDUP(IF(B2*40&gt;2000,2000,B2*40)/500,1)*5&amp;" mL da mistura diluído em 50 a 100 mL de SF 0,9% ou SG 5% por via EV, a cada 8/8 horas. Infundir em 30 minutos."</f>
        <v>Reconstituir 2 frasco(s) com 10 mL de AD. Administrar 6 mL da mistura diluído em 50 a 100 mL de SF 0,9% ou SG 5% por via EV, a cada 8/8 horas. Infundir em 30 minutos.</v>
      </c>
      <c r="C113" s="27"/>
      <c r="D113" s="33"/>
      <c r="E113" s="27"/>
      <c r="F113" s="27"/>
    </row>
    <row r="114" spans="1:6" ht="41.25" x14ac:dyDescent="0.2">
      <c r="A114" s="57" t="s">
        <v>129</v>
      </c>
      <c r="B114" s="28" t="str">
        <f>"Reconstituir "&amp;ROUNDUP(IF(B2*100&gt;12000,12000,B2*100)/4000,0)&amp;" ampola(s) com "&amp;ROUNDUP(IF(B2*100&gt;12000,12000,B2*100)/4000,0)*3&amp;" mL de AD. Administrar "&amp;ROUNDUP(IF(B2*100&gt;12000,12000/3,B2*100/3)/1500,1)*3&amp;" mL da mistura diluído em 50 a 100 mL de SF 0,9% ou SG 5% por via EV, a cada 8/8 horas. Infundir em 30 minutos."</f>
        <v>Reconstituir 1 ampola(s) com 3 mL de AD. Administrar 1,2 mL da mistura diluído em 50 a 100 mL de SF 0,9% ou SG 5% por via EV, a cada 8/8 horas. Infundir em 30 minutos.</v>
      </c>
      <c r="C114" s="27"/>
      <c r="D114" s="33"/>
      <c r="E114" s="27"/>
      <c r="F114" s="27"/>
    </row>
    <row r="115" spans="1:6" ht="27.75" x14ac:dyDescent="0.2">
      <c r="A115" s="84" t="s">
        <v>130</v>
      </c>
      <c r="B115" s="28" t="str">
        <f>"Reconstituir "&amp;ROUNDUP(IF(B1&lt;=0.9,MIN(B2*80,16000)/4000,MIN(B2*100,16000)/4000),0)&amp;" frasco(s) com "&amp;ROUNDUP(IF(B1&lt;=0.9,MIN(B2*80,16000)/4000,MIN(B2*100,16000)/4000),0)*4&amp;" mL de AD. Administrar "&amp;ROUNDUP(IF(B1&lt;=0,MIN(B2*80,16000)/1000,MIN(B2*100,16000)/1000),1)&amp;" mL diluído em "&amp;IF(B1&lt;=0.9,"50 mL","100 mL")&amp;" de SF 0,9% por via EV de "&amp;IF(B1&lt;=0.9,"6/6 horas","8/8 horas")&amp;". Infundir em 60 minutos."</f>
        <v>Reconstituir 1 frasco(s) com 4 mL de AD. Administrar 1,5 mL diluído em 100 mL de SF 0,9% por via EV de 8/8 horas. Infundir em 60 minutos.</v>
      </c>
      <c r="C115" s="48"/>
      <c r="D115" s="33"/>
      <c r="E115" s="27"/>
      <c r="F115" s="27"/>
    </row>
    <row r="116" spans="1:6" ht="41.25" x14ac:dyDescent="0.2">
      <c r="A116" s="113" t="s">
        <v>131</v>
      </c>
      <c r="B116" s="28" t="str">
        <f>IF(B1&lt;=4,"Dose de ataque: Administrar "&amp;ROUND(IF(B2*15&gt;4000,4000,B2*15)/5,1)&amp;" mL por via EV. (Infundir em 60 minutos) | Dose de manutenção: Administrar "&amp;ROUND(IF(B2*7.5*2&gt;4000,4000/2,B2*7.5)/5,1)&amp;" mL por via EV de 12/12 horas. (Infundir em 60 minutos)","Dose de ataque: Administrar "&amp;ROUND(IF(B2*15&gt;4000,4000,B2*15)/5,1)&amp;" mL por via EV. (Infundir em 60 minutos) | Dose de manutenção: Administrar "&amp;ROUND(IF(B2*7.5*3&gt;4000,4000/3,B2*7.5)/5,1)&amp;" mL por via EV de 8/8 horas. (Infundir em 60 minutos)")</f>
        <v>Dose de ataque: Administrar 42,9 mL por via EV. (Infundir em 60 minutos) | Dose de manutenção: Administrar 21,5 mL por via EV de 12/12 horas. (Infundir em 60 minutos)</v>
      </c>
      <c r="C116" s="27"/>
      <c r="D116" s="33"/>
      <c r="E116" s="27"/>
      <c r="F116" s="27"/>
    </row>
    <row r="117" spans="1:6" ht="41.25" x14ac:dyDescent="0.2">
      <c r="A117" s="113" t="s">
        <v>132</v>
      </c>
      <c r="B117" s="55" t="str">
        <f>"Reconstituir 1 frasco(s) com 10 mL de AD. Administrar " &amp; ROUNDUP(IF(B2*7.5&lt;=500,B2*7.5,500)/50,1) &amp; " mL diluído em 100 mL de SF 0,9% ou SG 5%  por via EV, de 12/12 horas. Infundir em 30 minutos."</f>
        <v>Reconstituir 1 frasco(s) com 10 mL de AD. Administrar 2,2 mL diluído em 100 mL de SF 0,9% ou SG 5%  por via EV, de 12/12 horas. Infundir em 30 minutos.</v>
      </c>
      <c r="C117" s="27"/>
      <c r="D117" s="33"/>
      <c r="E117" s="27"/>
      <c r="F117" s="27"/>
    </row>
    <row r="118" spans="1:6" x14ac:dyDescent="0.2">
      <c r="A118" s="114" t="s">
        <v>133</v>
      </c>
      <c r="B118" s="60"/>
      <c r="C118" s="27"/>
      <c r="D118" s="33"/>
      <c r="E118" s="27"/>
      <c r="F118" s="27"/>
    </row>
    <row r="119" spans="1:6" ht="27.75" x14ac:dyDescent="0.2">
      <c r="A119" s="109" t="s">
        <v>134</v>
      </c>
      <c r="B119" s="28" t="str">
        <f>"Reconstituir "&amp;IF(ROUNDUP((B2*100)/1000,0)&lt;=2,ROUNDUP((B2*100)/1000,0),2)&amp;" frasco(s) com "&amp;IF(ROUNDUP((B2*100)/1000,0)&lt;=2,ROUNDUP((B2*100)/1000,0),2)*2.5&amp;" mL de AD. Administrar "&amp;ROUND(IF((B2*100)&lt;=2000,(B2*100)/400,2000/400),1)&amp;" mL por via IM a cada 24/24 horas. Por 3 a 5 dias."</f>
        <v>Reconstituir 2 frasco(s) com 5 mL de AD. Administrar 3,6 mL por via IM a cada 24/24 horas. Por 3 a 5 dias.</v>
      </c>
      <c r="C119" s="27"/>
      <c r="D119" s="33"/>
      <c r="E119" s="27"/>
      <c r="F119" s="27"/>
    </row>
    <row r="120" spans="1:6" ht="27.75" x14ac:dyDescent="0.2">
      <c r="A120" s="57" t="s">
        <v>135</v>
      </c>
      <c r="B120" s="28" t="str">
        <f>"Reconstituir "&amp;IF(ROUNDUP((B2*50000)/600000,0)&lt;=2,ROUNDUP((B2*50000)/600000,0),2)&amp;" frasco(s) com "&amp;IF(ROUNDUP((B2*50000)/600000,0)&lt;=2,ROUNDUP((B2*50000)/600000,0),2)*3.2&amp;" mL de diluente para obter uma mistura de "&amp;IF(ROUNDUP((B2*50000)/600000,0)&lt;=2,ROUNDUP((B2*50000)/600000,0),2)*4&amp;" mL. Administrar "&amp;ROUND(IF((B2*50000)&lt;=1200000,(B2*50000)/150000,1200000/150000),1)&amp;" mL por via IM, dose única."</f>
        <v>Reconstituir 2 frasco(s) com 6,4 mL de diluente para obter uma mistura de 8 mL. Administrar 4,8 mL por via IM, dose única.</v>
      </c>
      <c r="C120" s="27"/>
      <c r="D120" s="33"/>
      <c r="E120" s="27"/>
      <c r="F120" s="27"/>
    </row>
    <row r="121" spans="1:6" ht="27.75" x14ac:dyDescent="0.2">
      <c r="A121" s="84" t="s">
        <v>136</v>
      </c>
      <c r="B121" s="28" t="str">
        <f>"Reconstituir "&amp;IF(ROUNDUP((B2*50000)/1200000,0)&lt;=1,ROUNDUP((B2*50000)/1200000,0),1)&amp;" frasco(s) com 3,2 mL de diluente para obter uma mistura de 4 mL. Administrar "&amp;ROUND(IF((B2*50000)&lt;=1200000,(B2*50000)/300000,1200000/300000),1)&amp;" mL por via IM, dose única."</f>
        <v>Reconstituir 1 frasco(s) com 3,2 mL de diluente para obter uma mistura de 4 mL. Administrar 2,4 mL por via IM, dose única.</v>
      </c>
      <c r="C121" s="27"/>
      <c r="D121" s="34"/>
      <c r="E121" s="27"/>
      <c r="F121" s="27"/>
    </row>
    <row r="122" spans="1:6" ht="61.5" customHeight="1" x14ac:dyDescent="0.2">
      <c r="A122" s="57" t="s">
        <v>137</v>
      </c>
      <c r="B122" s="28" t="str">
        <f>"Reconstituir "&amp;ROUNDUP(MIN(B2*50000,5000000)/5000000,0)&amp;" frasco(s) com "&amp;ROUNDUP(MIN(B2*50000,5000000)/5000000,0)*10&amp;" mL de diluente. Pegar "&amp;ROUNDDOWN(MIN(B2*50000,5000000)/500000,2)&amp;" mL da mistura e diluir em "&amp;ROUNDDOWN((MIN(B2*50000,5000000)/10000)-ROUNDDOWN(MIN(B2*50000,5000000)/500000,2),2)&amp;" mL de SG 5% e administrar por via EV bem lento. Correr em 60 minutos. Administrar de "&amp;IF(B1&lt;=0.07,"12/12 horas","8/8 horas")&amp;" (50.000 UI/kg/dose)."</f>
        <v>Reconstituir 1 frasco(s) com 10 mL de diluente. Pegar 1,43 mL da mistura e diluir em 70,07 mL de SG 5% e administrar por via EV bem lento. Correr em 60 minutos. Administrar de 8/8 horas (50.000 UI/kg/dose).</v>
      </c>
      <c r="C122" s="27"/>
      <c r="D122" s="34"/>
      <c r="E122" s="27"/>
      <c r="F122" s="27"/>
    </row>
    <row r="123" spans="1:6" ht="41.25" x14ac:dyDescent="0.2">
      <c r="A123" s="57" t="s">
        <v>138</v>
      </c>
      <c r="B123" s="28" t="str">
        <f>"Reconstituir "&amp;ROUNDUP(MIN(B2*25000,2000000)/1000000,0)&amp;" frasco(s) com "&amp;ROUNDUP(MIN(B2*25000,2000000)/1000000,0)*10&amp;" mL de AD. Pegar "&amp;ROUNDDOWN(MIN(B2*25000,2000000)/100000,2)&amp;" mL da mistura e diluir em "&amp;ROUNDDOWN(IF(MIN(B2*25000,2000000)&lt;=500000,250,250*(MIN(B2*25000,2000000)/500000)),2)&amp;" mL de SG 5%. Infundir por via EV bem lenta, em 2 horas. Administrar de 12/12 horas. (25.000 UI/Kg/Dia)."</f>
        <v>Reconstituir 1 frasco(s) com 10 mL de AD. Pegar 3,57 mL da mistura e diluir em 250 mL de SG 5%. Infundir por via EV bem lenta, em 2 horas. Administrar de 12/12 horas. (25.000 UI/Kg/Dia).</v>
      </c>
      <c r="C123" s="27"/>
      <c r="D123" s="34"/>
      <c r="E123" s="27"/>
      <c r="F123" s="27"/>
    </row>
    <row r="124" spans="1:6" x14ac:dyDescent="0.2">
      <c r="A124" s="102" t="s">
        <v>139</v>
      </c>
      <c r="B124" s="60"/>
      <c r="C124" s="33"/>
      <c r="D124" s="33"/>
      <c r="E124" s="27"/>
      <c r="F124" s="27"/>
    </row>
    <row r="125" spans="1:6" ht="27.75" x14ac:dyDescent="0.2">
      <c r="A125" s="57" t="s">
        <v>140</v>
      </c>
      <c r="B125" s="55" t="str">
        <f>"Administrar " &amp; ROUNDUP(IF(B2*2&lt;=B2*13,B2*2,B2*13)/50,1) &amp; " mL diluído em 10 mL de SF 0,9%. Fazer bem lento. Usar uma vez ao dia.(2mg/kg)."</f>
        <v>Administrar 0,6 mL diluído em 10 mL de SF 0,9%. Fazer bem lento. Usar uma vez ao dia.(2mg/kg).</v>
      </c>
      <c r="C125" s="128" t="str">
        <f>"Administrar " &amp; ROUNDUP(IF(B2*1&lt;=B2*13,B2*1,B2*13)/50,1) &amp; " mL diluído em 10 mL de SF 0,9%. Fazer bem lento. Usar uma vez ao dia. (1mg/kg)."</f>
        <v>Administrar 0,3 mL diluído em 10 mL de SF 0,9%. Fazer bem lento. Usar uma vez ao dia. (1mg/kg).</v>
      </c>
      <c r="D125" s="33"/>
      <c r="E125" s="27"/>
      <c r="F125" s="27"/>
    </row>
    <row r="126" spans="1:6" x14ac:dyDescent="0.2">
      <c r="A126" s="57" t="s">
        <v>141</v>
      </c>
      <c r="B126" s="55" t="str">
        <f>"Administrar " &amp; ROUNDUP(IF(B2*0.2&lt;=10,B2*0.2,10)/5,1) &amp; " mL por via IM ou EV."</f>
        <v>Administrar 0,6 mL por via IM ou EV.</v>
      </c>
      <c r="D126" s="33"/>
      <c r="E126" s="27"/>
      <c r="F126" s="27"/>
    </row>
    <row r="127" spans="1:6" ht="27.75" x14ac:dyDescent="0.2">
      <c r="A127" s="57" t="s">
        <v>142</v>
      </c>
      <c r="B127" s="55" t="str">
        <f>"Administrar " &amp; ROUNDUP(IF(B2*2&lt;=B2*18,B2*2,B2*18)/10,1) &amp; " mL por via EV puro sem diluição. Fazer bem lento.(2mg/kg)."</f>
        <v>Administrar 2,9 mL por via EV puro sem diluição. Fazer bem lento.(2mg/kg).</v>
      </c>
      <c r="C127" s="128" t="str">
        <f>"Administrar " &amp; ROUNDUP(IF(B2*1&lt;=B2*18,B2*1,B2*18)/10,1) &amp; " mL por via EV puro sem diluição. Fazer bem lento.(1mg/kg)."</f>
        <v>Administrar 1,5 mL por via EV puro sem diluição. Fazer bem lento.(1mg/kg).</v>
      </c>
      <c r="D127" s="33"/>
      <c r="E127" s="27"/>
      <c r="F127" s="27"/>
    </row>
    <row r="128" spans="1:6" ht="27.75" x14ac:dyDescent="0.2">
      <c r="A128" s="57" t="s">
        <v>143</v>
      </c>
      <c r="B128" s="55" t="str">
        <f>"Administrar " &amp; ROUNDUP(IF(B2*0.3&lt;=20,B2*0.3,20)/2,1) &amp; " mL diluído em 10 mL de SF 0,9%. Fazer lentamente por via EV.(0,3mg/kg)."</f>
        <v>Administrar 2,2 mL diluído em 10 mL de SF 0,9%. Fazer lentamente por via EV.(0,3mg/kg).</v>
      </c>
      <c r="C128" s="128" t="str">
        <f>"Administrar " &amp; ROUNDUP(IF(B2*0.2&lt;=20,B2*0.2,20)/2,1) &amp; " mL diluído em 10 mL de SF 0,9%. Fazer lentamente por via EV.(0,2mg/kg)."</f>
        <v>Administrar 1,5 mL diluído em 10 mL de SF 0,9%. Fazer lentamente por via EV.(0,2mg/kg).</v>
      </c>
      <c r="D128" s="33"/>
      <c r="E128" s="27"/>
      <c r="F128" s="27"/>
    </row>
    <row r="129" spans="1:6" ht="27.75" x14ac:dyDescent="0.2">
      <c r="A129" s="57" t="s">
        <v>144</v>
      </c>
      <c r="B129" s="55" t="str">
        <f>"Administrar " &amp; ROUNDUP(IF(B2*2&lt;=50,B2*2,50)/50,1) &amp; " mL diluído em 10 mL de SF 0,9%. Fazer lentamente por via EV."</f>
        <v>Administrar 0,6 mL diluído em 10 mL de SF 0,9%. Fazer lentamente por via EV.</v>
      </c>
      <c r="C129" s="27"/>
      <c r="D129" s="33"/>
      <c r="E129" s="27"/>
      <c r="F129" s="27"/>
    </row>
    <row r="130" spans="1:6" x14ac:dyDescent="0.2">
      <c r="A130" s="170" t="s">
        <v>145</v>
      </c>
      <c r="B130" s="60"/>
      <c r="C130" s="27"/>
      <c r="D130" s="33"/>
      <c r="E130" s="27"/>
      <c r="F130" s="27"/>
    </row>
    <row r="131" spans="1:6" ht="27.75" x14ac:dyDescent="0.2">
      <c r="A131" s="57" t="s">
        <v>146</v>
      </c>
      <c r="B131" s="55" t="str">
        <f>"Administrar " &amp; ROUNDUP(B2/10,1) &amp; " mL diluído em " &amp; ROUNDUP(ROUNDUP(B2/10,1)/5,0)*10 &amp; " mL de SF 0,9%. Fazer em bolus por via EV."</f>
        <v>Administrar 1,5 mL diluído em 10 mL de SF 0,9%. Fazer em bolus por via EV.</v>
      </c>
      <c r="C131" s="27"/>
      <c r="D131" s="33"/>
      <c r="E131" s="27"/>
      <c r="F131" s="27"/>
    </row>
    <row r="132" spans="1:6" ht="27.75" x14ac:dyDescent="0.2">
      <c r="A132" s="57" t="s">
        <v>147</v>
      </c>
      <c r="B132" s="55" t="str">
        <f>"Reconstituir " &amp; IF(B2*2&lt;=100,1,2) &amp; " frasco(s) com " &amp; IF(B2*2&lt;=100,10,20) &amp; " mL de AD. Administrar " &amp; ROUNDUP(IF(B2*2&lt;=150,B2*2,150)/10,1) &amp; " mL por via EV em bolus."</f>
        <v>Reconstituir 1 frasco(s) com 10 mL de AD. Administrar 2,9 mL por via EV em bolus.</v>
      </c>
      <c r="C132" s="27"/>
      <c r="D132" s="33"/>
      <c r="E132" s="27"/>
      <c r="F132" s="27"/>
    </row>
    <row r="133" spans="1:6" x14ac:dyDescent="0.2">
      <c r="A133" s="170" t="s">
        <v>148</v>
      </c>
      <c r="B133" s="60"/>
      <c r="C133" s="27"/>
      <c r="D133" s="33"/>
      <c r="E133" s="27"/>
      <c r="F133" s="27"/>
    </row>
    <row r="134" spans="1:6" ht="27.75" x14ac:dyDescent="0.2">
      <c r="A134" s="57" t="s">
        <v>149</v>
      </c>
      <c r="B134" s="55" t="str">
        <f>"Administrar " &amp; IF(B2*0.02/0.25&lt;=2,ROUNDUP(B2*0.02/0.25,1),2) &amp; " mL de Atropina por via EV " &amp; IF(B2*0.02/0.25&lt;=2,"sem diluição","diluído em 50 mL de SF 0,9%") &amp; ". Pode repetir uma vez em 5 minutos."</f>
        <v>Administrar 1,2 mL de Atropina por via EV sem diluição. Pode repetir uma vez em 5 minutos.</v>
      </c>
      <c r="C134" s="27"/>
      <c r="D134" s="33"/>
      <c r="E134" s="27"/>
      <c r="F134" s="27"/>
    </row>
    <row r="135" spans="1:6" x14ac:dyDescent="0.2">
      <c r="A135" s="170" t="s">
        <v>150</v>
      </c>
      <c r="B135" s="60"/>
      <c r="C135" s="27"/>
      <c r="D135" s="33"/>
      <c r="E135" s="27"/>
      <c r="F135" s="27"/>
    </row>
    <row r="136" spans="1:6" ht="41.25" x14ac:dyDescent="0.2">
      <c r="A136" s="57" t="s">
        <v>151</v>
      </c>
      <c r="B136" s="55" t="str">
        <f>"Administrar por via EV ou IM: "&amp;ROUNDUP(IF(B2*0.2&lt;=5,(B2*0.2)/5,5/5),2)&amp;" mL/dose, repetir até "&amp;ROUNDUP(IF(B2*0.4&lt;=10,(B2*0.4)/5,10/5),2)&amp;" mL (dose total). | EV contínuo: "&amp;ROUNDUP(IF(B2*0.2&lt;=10,(B2*0.2)/5,10/5),2)&amp;" mL/hora. | Nasal: "&amp;ROUNDUP(IF(B2*0.4&lt;=10,(B2*0.4)/5,10/5),2)&amp;" mL/dose. | Retal: "&amp;ROUNDUP(IF(B2*1&lt;=10,(B2*1)/5,10/5),2)&amp;" mL/dose."</f>
        <v>Administrar por via EV ou IM: 0,58 mL/dose, repetir até 1,15 mL (dose total). | EV contínuo: 0,58 mL/hora. | Nasal: 1,15 mL/dose. | Retal: 2 mL/dose.</v>
      </c>
      <c r="C136" s="27"/>
      <c r="D136" s="33"/>
      <c r="E136" s="27"/>
      <c r="F136" s="27"/>
    </row>
    <row r="137" spans="1:6" ht="27.75" x14ac:dyDescent="0.2">
      <c r="A137" s="57" t="s">
        <v>152</v>
      </c>
      <c r="B137" s="55" t="str">
        <f>"Administrar "&amp;ROUNDUP(IF((B2*0.2)&lt;=20,(B2*0.2)/5,20/5),1)&amp;" mL diluído em 10 mL de SF 0,9%. Administrar por via EV bem lento | Pode repetir até 3 vezes com intervalo de 5 minutos."</f>
        <v>Administrar 0,6 mL diluído em 10 mL de SF 0,9%. Administrar por via EV bem lento | Pode repetir até 3 vezes com intervalo de 5 minutos.</v>
      </c>
      <c r="C137" s="27"/>
      <c r="D137" s="33"/>
      <c r="E137" s="27"/>
      <c r="F137" s="27"/>
    </row>
    <row r="138" spans="1:6" ht="68.25" x14ac:dyDescent="0.2">
      <c r="A138" s="57" t="s">
        <v>153</v>
      </c>
      <c r="B138" s="55" t="str">
        <f>"Administrar "&amp;ROUNDUP(MIN(B2*20,1000)/50,1)&amp;" mL diluído em 100 mL de SF 0,9%. Correr em 20 minutos a uma taxa de "&amp;ROUNDUP(MIN(B2*20,1000)/20/50,2)&amp;" mL/min. Pode repetir mais uma dose de "&amp;ROUNDUP(MIN(B2*10,1000)/50,1)&amp;" mL. Se necessário, caso a convulsão não melhore. Observção: É necessária monitorização cardíaca cuidadosa durante e após a administração intravenosa."</f>
        <v>Administrar 5,8 mL diluído em 100 mL de SF 0,9%. Correr em 20 minutos a uma taxa de 0,29 mL/min. Pode repetir mais uma dose de 2,9 mL. Se necessário, caso a convulsão não melhore. Observção: É necessária monitorização cardíaca cuidadosa durante e após a administração intravenosa.</v>
      </c>
      <c r="C138" s="27"/>
      <c r="D138" s="33"/>
      <c r="E138" s="27"/>
      <c r="F138" s="27"/>
    </row>
    <row r="139" spans="1:6" ht="68.25" x14ac:dyDescent="0.2">
      <c r="A139" s="57" t="s">
        <v>154</v>
      </c>
      <c r="B139" s="55" t="str">
        <f>"Administrar "&amp;ROUNDUP(MIN(B2*20,1000)/100,1)&amp;" mL diluído em 100 mL de SF 0,9%. Correr em 20 minutos a uma taxa de "&amp;ROUNDUP(MIN(B2*20,1000)/20/100,2)&amp;" mL/min. Pode repetir mais uma dose de "&amp;ROUNDUP(MIN(B2*10,1000)/100,1)&amp;" mL caso a convulsão não melhore após 10 a 15 minutos. Observação: Suporte respiratório adicional pode ser necessário, especialmente ao maximizar a dose de ataque ou com terapia sedativa concomitante."</f>
        <v>Administrar 2,9 mL diluído em 100 mL de SF 0,9%. Correr em 20 minutos a uma taxa de 0,15 mL/min. Pode repetir mais uma dose de 1,5 mL caso a convulsão não melhore após 10 a 15 minutos. Observação: Suporte respiratório adicional pode ser necessário, especialmente ao maximizar a dose de ataque ou com terapia sedativa concomitante.</v>
      </c>
      <c r="C139" s="27"/>
      <c r="D139" s="33"/>
      <c r="E139" s="27"/>
      <c r="F139" s="27"/>
    </row>
    <row r="140" spans="1:6" x14ac:dyDescent="0.2">
      <c r="A140" s="57" t="s">
        <v>155</v>
      </c>
      <c r="B140" s="55" t="str">
        <f>"Administrar "&amp;ROUNDUP(MIN(B2*2,500)/2,0)&amp;" gotas por via oral de 24/24 horas. Uma vez ao dia."</f>
        <v>Administrar 15 gotas por via oral de 24/24 horas. Uma vez ao dia.</v>
      </c>
      <c r="D140" s="25"/>
      <c r="E140" s="27"/>
      <c r="F140" s="27"/>
    </row>
    <row r="141" spans="1:6" ht="27.75" x14ac:dyDescent="0.2">
      <c r="A141" s="57" t="s">
        <v>156</v>
      </c>
      <c r="B141" s="55" t="str">
        <f>"Dose inicial: Tomar "&amp;ROUNDUP(MIN(B2*0.01,B2*0.03)/0.125/2,0)&amp;" gotas por via oral de 12/12 horas. | Dose de manutenção: Tomar "&amp;ROUNDUP(MIN(B2*0.1,B2*0.2)/0.125/2,0)&amp;" gotas por via oral de 12/12 horas."</f>
        <v>Dose inicial: Tomar 1 gotas por via oral de 12/12 horas. | Dose de manutenção: Tomar 6 gotas por via oral de 12/12 horas.</v>
      </c>
      <c r="D141" s="25"/>
      <c r="E141" s="27"/>
      <c r="F141" s="27"/>
    </row>
    <row r="142" spans="1:6" ht="41.25" x14ac:dyDescent="0.2">
      <c r="A142" s="57" t="s">
        <v>157</v>
      </c>
      <c r="B142" s="55" t="str">
        <f>"Administrar "&amp;ROUNDUP(IF(B1&lt;5,MIN(B2*0.55,40)/5,MIN(B2*0.55,75)/5),1)&amp;" mL diluído em "&amp;ROUNDUP(IF(B1&lt;5,MIN(B2*0.55,40)/1,MIN(B2*0.55,75)/1),1)-ROUNDUP(IF(B1&lt;5,MIN(B2*0.55,40)/5,MIN(B2*0.55,75)/5),1)&amp;" mL de SF 0,9% por via EV. Pode repetir a cada 8 horas. Se necessário. Observação: Administrar EV lentamente, por pelo menos 2 minutos."</f>
        <v>Administrar 1,6 mL diluído em 6,3 mL de SF 0,9% por via EV. Pode repetir a cada 8 horas. Se necessário. Observação: Administrar EV lentamente, por pelo menos 2 minutos.</v>
      </c>
      <c r="D142" s="25"/>
      <c r="E142" s="27"/>
      <c r="F142" s="27"/>
    </row>
    <row r="143" spans="1:6" x14ac:dyDescent="0.2">
      <c r="A143" s="170" t="s">
        <v>158</v>
      </c>
      <c r="B143" s="60"/>
      <c r="D143" s="25"/>
      <c r="E143" s="27"/>
      <c r="F143" s="27"/>
    </row>
    <row r="144" spans="1:6" ht="27.75" x14ac:dyDescent="0.2">
      <c r="A144" s="57" t="s">
        <v>159</v>
      </c>
      <c r="B144" s="55" t="str">
        <f>"Administrar "&amp;ROUND((B2 * 0.1 * 1440) / 1000, 2) &amp; " mL de adrenalina + " &amp; ROUND(100 - ((B2 * 0.1 * 1440) / 1000), 2) &amp; " mL de SF 0,9% | Administrar a " &amp; ROUND(250 / 24, 1) &amp; " mL/hora em BIC - Por 24 horas."</f>
        <v>Administrar 2,06 mL de adrenalina + 97,94 mL de SF 0,9% | Administrar a 10,4 mL/hora em BIC - Por 24 horas.</v>
      </c>
      <c r="D144" s="25"/>
      <c r="E144" s="27"/>
      <c r="F144" s="27"/>
    </row>
    <row r="145" spans="1:6" ht="27.75" x14ac:dyDescent="0.2">
      <c r="A145" s="57" t="s">
        <v>160</v>
      </c>
      <c r="B145" s="55" t="str">
        <f>"Administrar "&amp;ROUND((B2 * 0.3 * 1440) / 1000, 2) &amp; " mL de adrenalina + " &amp; ROUND(250 - ((B2 * 0.3 * 1440) / 1000), 2) &amp; " mL de SF 0,9% | Administrar a " &amp; ROUND(250 / 24, 1) &amp; " mL/hora em BIC - Por 24 horas."</f>
        <v>Administrar 6,18 mL de adrenalina + 243,82 mL de SF 0,9% | Administrar a 10,4 mL/hora em BIC - Por 24 horas.</v>
      </c>
      <c r="D145" s="25"/>
      <c r="E145" s="27"/>
      <c r="F145" s="27"/>
    </row>
    <row r="146" spans="1:6" ht="27.75" x14ac:dyDescent="0.2">
      <c r="A146" s="57" t="s">
        <v>161</v>
      </c>
      <c r="B146" s="55" t="str">
        <f>"Administrar "&amp;ROUND((B2 * 0.1 * 1440) / 1000, 2) &amp; " mL de noradrenalina + " &amp; ROUND(250 - ((B2 * 0.1 * 1440) / 1000), 2) &amp; " mL de SF 0,9% | ADMINISTRAR A " &amp; ROUND(250 / 24, 1) &amp; " mL/hora em BIC - Por 24 horas."</f>
        <v>Administrar 2,06 mL de noradrenalina + 247,94 mL de SF 0,9% | ADMINISTRAR A 10,4 mL/hora em BIC - Por 24 horas.</v>
      </c>
      <c r="D146" s="25"/>
      <c r="E146" s="27"/>
      <c r="F146" s="27"/>
    </row>
    <row r="147" spans="1:6" ht="27.75" x14ac:dyDescent="0.2">
      <c r="A147" s="57" t="s">
        <v>162</v>
      </c>
      <c r="B147" s="55" t="str">
        <f>"Administrar "&amp;ROUND((B2 * 5 * 1440) / 12500, 2) &amp; " mL de dobutamina + " &amp; ROUND(250 - ((B2 * 5 * 1440) / 12500), 2) &amp; " mL de SF 0,9% | Administrar a " &amp; ROUND(250 / 24, 1) &amp; " mL/hora em BIC - Por 24 horas."</f>
        <v>Administrar 8,24 mL de dobutamina + 241,76 mL de SF 0,9% | Administrar a 10,4 mL/hora em BIC - Por 24 horas.</v>
      </c>
      <c r="D147" s="25"/>
      <c r="E147" s="27"/>
      <c r="F147" s="27"/>
    </row>
    <row r="148" spans="1:6" ht="27.75" x14ac:dyDescent="0.2">
      <c r="A148" s="57" t="s">
        <v>163</v>
      </c>
      <c r="B148" s="55" t="str">
        <f>"Administrar "&amp;ROUND((B2 * 0.25 * 1440) / 1000, 2) &amp; " mL de milrinona + " &amp; ROUND(192 - ((B2 * 0.25 * 1440) / 1000), 2) &amp; " mL de SF 0,9% | Administrar a " &amp; ROUND(192 / 24, 1) &amp; " mL/hora em BIC - Por 24 horas."</f>
        <v>Administrar 5,15 mL de milrinona + 186,85 mL de SF 0,9% | Administrar a 8 mL/hora em BIC - Por 24 horas.</v>
      </c>
      <c r="D148" s="25"/>
      <c r="E148" s="27"/>
      <c r="F148" s="27"/>
    </row>
    <row r="149" spans="1:6" ht="27.75" x14ac:dyDescent="0.2">
      <c r="A149" s="57" t="s">
        <v>164</v>
      </c>
      <c r="B149" s="55" t="str">
        <f>"Administrar "&amp;ROUND((B2 * 0.3 * 1440) / 25000, 2) &amp; " mL de nitruprussiato + " &amp; ROUND(200 - ((B2 * 0.3 * 1440) / 25000), 2) &amp; " mL de SF 0,9% | Administrar a " &amp; ROUND(200 / 24, 1) &amp; " mL/hora em BIC - Por 24 horas."</f>
        <v>Administrar 0,25 mL de nitruprussiato + 199,75 mL de SF 0,9% | Administrar a 8,3 mL/hora em BIC - Por 24 horas.</v>
      </c>
      <c r="D149" s="25"/>
      <c r="E149" s="27"/>
      <c r="F149" s="27"/>
    </row>
    <row r="150" spans="1:6" ht="27.75" x14ac:dyDescent="0.2">
      <c r="A150" s="57" t="s">
        <v>165</v>
      </c>
      <c r="B150" s="55" t="str">
        <f>"Administrar "&amp;ROUND((B2 * 3 * 24) / 50, 2) &amp; " mL de fentanil + " &amp; ROUND(100 - ((B2 * 3 * 24) / 50), 2) &amp; " mL de SF 0,9% | Administrar a " &amp; ROUND(100 / 24, 1) &amp; " mL/hora em BIC - Por 24 horas."</f>
        <v>Administrar 20,59 mL de fentanil + 79,41 mL de SF 0,9% | Administrar a 4,2 mL/hora em BIC - Por 24 horas.</v>
      </c>
      <c r="D150" s="25"/>
      <c r="E150" s="27"/>
      <c r="F150" s="27"/>
    </row>
    <row r="151" spans="1:6" ht="27.75" x14ac:dyDescent="0.2">
      <c r="A151" s="57" t="s">
        <v>166</v>
      </c>
      <c r="B151" s="55" t="str">
        <f>"Administrar "&amp;ROUND((B2 * 10 * 24) / 10000, 2) &amp; " mL de morfina + " &amp; ROUND(100 - ((B2 * 10 * 24) / 10000), 2) &amp; " mL de SF 0,9% | Administrar a " &amp; ROUND(100 / 24, 1) &amp; " mL/hora em BIC - Por 24 horas."</f>
        <v>Administrar 0,34 mL de morfina + 99,66 mL de SF 0,9% | Administrar a 4,2 mL/hora em BIC - Por 24 horas.</v>
      </c>
      <c r="D151" s="25"/>
      <c r="E151" s="27"/>
      <c r="F151" s="27"/>
    </row>
    <row r="152" spans="1:6" ht="27.75" x14ac:dyDescent="0.2">
      <c r="A152" s="57" t="s">
        <v>167</v>
      </c>
      <c r="B152" s="55" t="str">
        <f>"Administrar "&amp;ROUND((B2 * 0.3 * 24) / 5, 2) &amp; " mL de midazolan + " &amp; ROUND(100 - ((B2 * 0.3 * 24) / 5), 2) &amp; " mL de SF 0,9% | Administrar a " &amp; ROUND(100 / 24, 1) &amp; " mL/hora em BIC - Por 24 horas."</f>
        <v>Administrar 20,59 mL de midazolan + 79,41 mL de SF 0,9% | Administrar a 4,2 mL/hora em BIC - Por 24 horas.</v>
      </c>
      <c r="D152" s="25"/>
      <c r="E152" s="27"/>
      <c r="F152" s="27"/>
    </row>
    <row r="153" spans="1:6" ht="27.75" x14ac:dyDescent="0.2">
      <c r="A153" s="57" t="s">
        <v>168</v>
      </c>
      <c r="B153" s="55" t="str">
        <f>"Administrar "&amp;ROUND((B2 * 10 * 1440) / 50000, 2) &amp; " mL de ketamine + " &amp; ROUND(150 - ((B2 * 10 * 1440) / 50000), 2) &amp; " mL de SF 0,9% | Administrar a " &amp; ROUND(150 / 24, 1) &amp; " mL/hora em BIC - Por 24 horas."</f>
        <v>Administrar 4,12 mL de ketamine + 145,88 mL de SF 0,9% | Administrar a 6,3 mL/hora em BIC - Por 24 horas.</v>
      </c>
      <c r="D153" s="25"/>
      <c r="E153" s="27"/>
      <c r="F153" s="27"/>
    </row>
    <row r="154" spans="1:6" ht="54.75" x14ac:dyDescent="0.2">
      <c r="A154" s="57" t="s">
        <v>169</v>
      </c>
      <c r="B154" s="55" t="str">
        <f>"Dose de ataque =&gt; Administrar " &amp; ROUND((B2 * 15) / 500, 2) &amp; " mL de salbutamol diluido em  " &amp; ROUND(10 - ((B2 * 15) / 500), 2) &amp; " mL de SF 0,9% infundir em 5 minutos. | Dose de infusão contínua =&gt; Administrar " &amp; ROUND((B2 * 5 * 24) / 500, 2) &amp; " mL de salbutamol diluido em  " &amp; ROUND(50 - ((B2 * 5 * 24) / 500), 2) &amp; " mL de SF 0,9% infundir a " &amp; ROUND(50 / 24, 1) &amp; " mL/hora em BIC - Por 24 horas."</f>
        <v>Dose de ataque =&gt; Administrar 0,43 mL de salbutamol diluido em  9,57 mL de SF 0,9% infundir em 5 minutos. | Dose de infusão contínua =&gt; Administrar 3,43 mL de salbutamol diluido em  46,57 mL de SF 0,9% infundir a 2,1 mL/hora em BIC - Por 24 horas.</v>
      </c>
      <c r="D154" s="25"/>
      <c r="E154" s="27"/>
      <c r="F154" s="27"/>
    </row>
    <row r="155" spans="1:6" ht="27.75" x14ac:dyDescent="0.2">
      <c r="A155" s="84" t="s">
        <v>170</v>
      </c>
      <c r="B155" s="55" t="str">
        <f>"Administrar "&amp;ROUND((B2 * 0.2 * 24) / 100, 2) &amp; " mL de dexmedetomidina + " &amp; ROUND(150 - ((B2 * 0.2 * 24) / 100), 2) &amp; " mL de SF 0,9% | Administrar a " &amp; ROUND(150 / 24, 1) &amp; " mL/hora em BIC - Por 24 horas."</f>
        <v>Administrar 0,69 mL de dexmedetomidina + 149,31 mL de SF 0,9% | Administrar a 6,3 mL/hora em BIC - Por 24 horas.</v>
      </c>
      <c r="D155" s="25"/>
      <c r="E155" s="27"/>
      <c r="F155" s="171"/>
    </row>
    <row r="156" spans="1:6" x14ac:dyDescent="0.2">
      <c r="A156" s="170" t="s">
        <v>171</v>
      </c>
      <c r="B156" s="59" t="s">
        <v>172</v>
      </c>
      <c r="C156" s="65" t="s">
        <v>173</v>
      </c>
      <c r="D156" s="59" t="s">
        <v>174</v>
      </c>
      <c r="E156" s="59" t="s">
        <v>175</v>
      </c>
      <c r="F156" s="27"/>
    </row>
    <row r="157" spans="1:6" ht="27.75" x14ac:dyDescent="0.2">
      <c r="A157" s="117" t="s">
        <v>176</v>
      </c>
      <c r="B157" s="45" t="str">
        <f>"SG5%: "&amp;ROUND(((100*B2)*(50-10))/45,1)&amp;" ML | GH50%: "&amp;ROUND(((100*B2)*(10-5))/45,1)&amp;" ML | NaCl 20%: "&amp;ROUND((B2*2)/3.4,1)&amp;" ML | KCl 19,1%: "&amp;ROUND((B2*2)/2.5,1)&amp;" ML | GLUCA 10%: "&amp;ROUND((B2*1)/0.5,1)&amp;" ML | BIC: "&amp;ROUND(((((100*B2)*(50-10))/45)+(((100*B2)*(10-5))/45)+((B2*2)/3.4)+((B2*2)/2.5)+((B2*1)/0.5))/24,0)&amp;" ML/H"</f>
        <v>SG5%: 1271,1 ML | GH50%: 158,9 ML | NaCl 20%: 8,4 ML | KCl 19,1%: 11,4 ML | GLUCA 10%: 28,6 ML | BIC: 62 ML/H</v>
      </c>
      <c r="C157" s="129" t="str">
        <f>"SG5%: "&amp;ROUND(0.8*((100*B2)*(50-10)/45),1)&amp;" ML | GH50%: "&amp;ROUND(0.8*((100*B2)*(10-5)/45),1)&amp;" ML | NaCl 20%: "&amp;ROUND(0.8*((B2*2)/3.4),1)&amp;" ML | KCl 19,1%: "&amp;ROUND(0.8*((B2*2)/2.5),1)&amp;" ML | GLUCA 10%: "&amp;ROUND(0.8*((B2*1)/0.5),1)&amp;" ML | BIC: "&amp;ROUND(0.8*((((100*B2)*(50-10))/45)+(((100*B2)*(10-5))/45)+((B2*2)/3.4)+((B2*2)/2.5)+((B2*1)/0.5))/24,0)&amp;" ML/H"</f>
        <v>SG5%: 1016,9 ML | GH50%: 127,1 ML | NaCl 20%: 6,7 ML | KCl 19,1%: 9,2 ML | GLUCA 10%: 22,9 ML | BIC: 49 ML/H</v>
      </c>
      <c r="D157" s="45" t="str">
        <f>"SG5%: "&amp;ROUND(0.5*((100*B2)*(50-10)/45),1)&amp;" ML | GH50%: "&amp;ROUND(0.5*((100*B2)*(10-5)/45),1)&amp;" ML | NaCl 20%: "&amp;ROUND(0.5*((B2*2)/3.4),1)&amp;" ML | KCl 19,1%: "&amp;ROUND(0.5*((B2*2)/2.5),1)&amp;" ML | GLUCA 10%: "&amp;ROUND(0.5*((B2*1)/0.5),1)&amp;" ML | BIC: "&amp;ROUND(0.5*((((100*B2)*(50-10))/45)+(((100*B2)*(10-5))/45)+((B2*2)/3.4)+((B2*2)/2.5)+((B2*1)/0.5))/24,0)&amp;" ML/H"</f>
        <v>SG5%: 635,6 ML | GH50%: 79,4 ML | NaCl 20%: 4,2 ML | KCl 19,1%: 5,7 ML | GLUCA 10%: 14,3 ML | BIC: 31 ML/H</v>
      </c>
      <c r="E157" s="45" t="str">
        <f>"SG5%: "&amp;ROUND(0.3*((100*B2)*(50-10)/45),1)&amp;" ML | GH50%: "&amp;ROUND(0.3*((100*B2)*(10-5)/45),1)&amp;" ML | NaCl 20%: "&amp;ROUND(0.3*((B2*2)/3.4),1)&amp;" ML | KCl 19,1%: "&amp;ROUND(0.3*((B2*2)/2.5),1)&amp;" ML | GLUCA 10%: "&amp;ROUND(0.3*((B2*1)/0.3),1)&amp;" ML | BIC: "&amp;ROUND(0.3*((((100*B2)*(50-10))/45)+(((100*B2)*(10-5))/45)+((B2*2)/3.4)+((B2*2)/2.5)+((B2*1)/0.3))/24,0)&amp;" ML/H"</f>
        <v>SG5%: 381,3 ML | GH50%: 47,7 ML | NaCl 20%: 2,5 ML | KCl 19,1%: 3,4 ML | GLUCA 10%: 14,3 ML | BIC: 19 ML/H</v>
      </c>
      <c r="F157" s="27"/>
    </row>
    <row r="158" spans="1:6" x14ac:dyDescent="0.2">
      <c r="A158" s="170" t="s">
        <v>177</v>
      </c>
      <c r="B158" s="59" t="s">
        <v>178</v>
      </c>
      <c r="C158" s="65" t="s">
        <v>179</v>
      </c>
      <c r="D158" s="59" t="s">
        <v>180</v>
      </c>
      <c r="E158" s="59" t="s">
        <v>181</v>
      </c>
      <c r="F158" s="27"/>
    </row>
    <row r="159" spans="1:6" x14ac:dyDescent="0.2">
      <c r="A159" s="117" t="s">
        <v>182</v>
      </c>
      <c r="B159" s="45" t="str">
        <f>ROUND(IF(B2&lt;=10,B2*100,IF(B2&lt;=20,1000+(B2-10)*50,1500+(B2-20)*20))/250,0)*250&amp;" ML SG5% |"&amp;ROUND((136*ROUND(IF(B2&lt;=10,B2*100,IF(B2&lt;=20,1000+(B2-10)*50,1500+(B2-20)*20))/250,0)*250)/1000/3.4,1)&amp;" ML NaCl 20% |"&amp;ROUND((25*ROUND(IF(B2&lt;=10,B2*100,IF(B2&lt;=20,1000+(B2-10)*50,1500+(B2-20)*20))/250,0)*250)/1000/1.5,1)&amp;" ML KCl 15% |"&amp;ROUND(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1250 ML SG5% |50 ML NaCl 20% |20,8 ML KCl 15% |55 ML/H BIC</v>
      </c>
      <c r="C159" s="130" t="str">
        <f>ROUND(0.8*ROUND(IF(B2&lt;=10,B2*100,IF(B2&lt;=20,1000+(B2-10)*50,1500+(B2-20)*20))/250,0)*250,0)&amp;" ML SG5% |"&amp;ROUND(0.8*(136*ROUND(IF(B2&lt;=10,B2*100,IF(B2&lt;=20,1000+(B2-10)*50,1500+(B2-20)*20))/250,0)*250)/1000/3.4,1)&amp;" ML NaCl 20% |"&amp;ROUND(0.8*(25*ROUND(IF(B2&lt;=10,B2*100,IF(B2&lt;=20,1000+(B2-10)*50,1500+(B2-20)*20))/250,0)*250)/1000/1.5,1)&amp;" ML KCl 15% |"&amp;ROUND(0.8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1000 ML SG5% |40 ML NaCl 20% |16,7 ML KCl 15% |44 ML/H BIC</v>
      </c>
      <c r="D159" s="28" t="str">
        <f>ROUND(0.5*ROUND(IF(B2&lt;=10,B2*100,IF(B2&lt;=20,1000+(B2-10)*50,1500+(B2-20)*20))/250,0)*250,0)&amp;" ML SG5% |"&amp;ROUND(0.5*(136*ROUND(IF(B2&lt;=10,B2*100,IF(B2&lt;=20,1000+(B2-10)*50,1500+(B2-20)*20))/250,0)*250)/1000/3.4,1)&amp;" ML NaCl 20% |"&amp;ROUND(0.5*(25*ROUND(IF(B2&lt;=10,B2*100,IF(B2&lt;=20,1000+(B2-10)*50,1500+(B2-20)*20))/250,0)*250)/1000/1.5,1)&amp;" ML KCl 15% |"&amp;ROUND(0.5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625 ML SG5% |25 ML NaCl 20% |10,4 ML KCl 15% |28 ML/H BIC</v>
      </c>
      <c r="E159" s="28" t="str">
        <f>ROUND(0.3*ROUND(IF(B2&lt;=10,B2*100,IF(B2&lt;=20,1000+(B2-10)*50,1500+(B2-20)*20))/250,0)*250,0)&amp;" ML SG5% |"&amp;ROUND(0.3*(136*ROUND(IF(B2&lt;=10,B2*100,IF(B2&lt;=20,1000+(B2-10)*50,1500+(B2-20)*20))/250,0)*250)/1000/3.4,1)&amp;" ML NaCl 20% |"&amp;ROUND(0.3*(25*ROUND(IF(B2&lt;=10,B2*100,IF(B2&lt;=20,1000+(B2-10)*50,1500+(B2-20)*20))/250,0)*250)/1000/1.5,1)&amp;" ML KCl 15% |"&amp;ROUND(0.3*((ROUND(IF(B2&lt;=10,B2*100,IF(B2&lt;=20,1000+(B2-10)*50,1500+(B2-20)*20))/250,0)*250)+(136*ROUND(IF(B2&lt;=10,B2*100,IF(B2&lt;=20,1000+(B2-10)*50,1500+(B2-20)*20))/250,0)*250)/1000/3.4+(25*ROUND(IF(B2&lt;=10,B2*100,IF(B2&lt;=20,1000+(B2-10)*50,1500+(B2-20)*20))/250,0)*250)/1000/1.5)/24,0)&amp;" ML/H BIC"</f>
        <v>375 ML SG5% |15 ML NaCl 20% |6,3 ML KCl 15% |17 ML/H BIC</v>
      </c>
      <c r="F159" s="27"/>
    </row>
    <row r="160" spans="1:6" x14ac:dyDescent="0.2">
      <c r="A160" s="170" t="s">
        <v>183</v>
      </c>
      <c r="B160" s="60"/>
      <c r="C160" s="131"/>
      <c r="D160" s="59"/>
      <c r="E160" s="60"/>
      <c r="F160" s="27"/>
    </row>
    <row r="161" spans="1:5" ht="27.75" x14ac:dyDescent="0.2">
      <c r="A161" s="109" t="s">
        <v>184</v>
      </c>
      <c r="B161" s="55" t="str">
        <f>"Administrar "&amp;ROUND(IF(B2&lt;=20, B2*0.1/0.4, 2/0.4), 2) &amp; " mL IM/IV/SUBCUTÂNEO pode ser repetido a cada 3 minutos se necessário."</f>
        <v>Administrar 3,58 mL IM/IV/SUBCUTÂNEO pode ser repetido a cada 3 minutos se necessário.</v>
      </c>
      <c r="D161" s="25"/>
      <c r="E161" s="27"/>
    </row>
    <row r="162" spans="1:5" ht="27.75" x14ac:dyDescent="0.2">
      <c r="A162" s="57" t="s">
        <v>185</v>
      </c>
      <c r="B162" s="55" t="str">
        <f>"Administrar "&amp;ROUND(IF(B2&lt;=20, B2*0.1/1, 2/1), 2) &amp; " mL IM/IV/SUBCUTÂNEO pode ser repetido a cada 3 minutos se necessário."</f>
        <v>Administrar 1,43 mL IM/IV/SUBCUTÂNEO pode ser repetido a cada 3 minutos se necessário.</v>
      </c>
      <c r="D162" s="25"/>
      <c r="E162" s="171"/>
    </row>
    <row r="163" spans="1:5" ht="47.25" customHeight="1" x14ac:dyDescent="0.2">
      <c r="A163" s="57" t="s">
        <v>186</v>
      </c>
      <c r="B163" s="55" t="str">
        <f>"Administrar "&amp;ROUND(IF(B2*0.01&lt;=0.2, B2*0.01/0.1, 0.2/0.1), 2) &amp; " mL infundido por 15 segundos. Pode ser repetido " &amp; ROUND(IF(B2*0.01&lt;=0.2, B2*0.01/0.1, 0.2/0.1), 2) &amp; " mL após 45 segundos e a cada minuto. Dose cumulativa maxima " &amp; ROUND(IF(B2*0.05&lt;=1, B2*0.05/0.1, 1/0.1), 2) &amp; " mL"</f>
        <v>Administrar 1,43 mL infundido por 15 segundos. Pode ser repetido 1,43 mL após 45 segundos e a cada minuto. Dose cumulativa maxima 7,15 mL</v>
      </c>
      <c r="C163" s="48"/>
      <c r="D163" s="48"/>
      <c r="E163" s="27"/>
    </row>
    <row r="164" spans="1:5" x14ac:dyDescent="0.2">
      <c r="A164" s="112" t="s">
        <v>187</v>
      </c>
      <c r="B164" s="64"/>
      <c r="C164" s="48"/>
      <c r="D164" s="48"/>
      <c r="E164" s="27"/>
    </row>
    <row r="165" spans="1:5" ht="41.25" x14ac:dyDescent="0.2">
      <c r="A165" s="85" t="s">
        <v>188</v>
      </c>
      <c r="B165" s="55" t="str">
        <f>"Diluir "&amp;ROUNDUP(IF((B2*0.13)&lt;=5,(B2*0.13)/0.125,5/0.125),0)&amp;" gotas + 3 mL de SF 0,9%, realizar nebulização por 20 minutos. Nos casos agudos e/ou de exacerbação do broncoespasmo, utilizar a solução (por nebulização) a cada 20 minutos até estabilização do quadro."</f>
        <v>Diluir 15 gotas + 3 mL de SF 0,9%, realizar nebulização por 20 minutos. Nos casos agudos e/ou de exacerbação do broncoespasmo, utilizar a solução (por nebulização) a cada 20 minutos até estabilização do quadro.</v>
      </c>
      <c r="C165" s="48"/>
      <c r="D165" s="48"/>
      <c r="E165" s="27"/>
    </row>
    <row r="166" spans="1:5" x14ac:dyDescent="0.2">
      <c r="A166" s="56" t="s">
        <v>189</v>
      </c>
      <c r="B166" s="55" t="str">
        <f>"Administrar " &amp;IF(B1&lt;6,"Contraindicado", IF(AND(B1&gt;=6,B1&lt;=12),"2 puffs por via inalatória de 12/12 horas. Agite o frasco antes de usar. Inspire profundamente ao pressionar o frasco e segure a respiração. Enxague a boca após o uso.", "4 puffs por via inalatória de 12/12 horas. Agite o frasco antes de usar. Inspire profundamente ao pressionar o frasco e segure a respiração. Enxague a boca após o uso."))</f>
        <v>Administrar Contraindicado</v>
      </c>
      <c r="C166" s="48"/>
      <c r="D166" s="48"/>
      <c r="E166" s="27"/>
    </row>
    <row r="167" spans="1:5" ht="54.75" x14ac:dyDescent="0.2">
      <c r="A167" s="85" t="s">
        <v>190</v>
      </c>
      <c r="B167" s="55" t="str">
        <f>"Aplicar "&amp;ROUNDUP(MIN(B2/3,10),0)&amp;" jatos (puffs), por via inalatória, de 6/6 horas. "&amp;IF(B1&lt;4,"Com o uso de espaçador + máscara facial.","Sem necessidade de máscara facial.")&amp;" Observação: Nos casos agudos e/ou de exacerbação do broncoespasmo, repetir a dose inalatória a cada 20 minutos até estabilização do quadro."</f>
        <v>Aplicar 5 jatos (puffs), por via inalatória, de 6/6 horas. Com o uso de espaçador + máscara facial. Observação: Nos casos agudos e/ou de exacerbação do broncoespasmo, repetir a dose inalatória a cada 20 minutos até estabilização do quadro.</v>
      </c>
      <c r="C167" s="142"/>
      <c r="D167" s="48"/>
      <c r="E167" s="27"/>
    </row>
    <row r="168" spans="1:5" ht="27.75" x14ac:dyDescent="0.2">
      <c r="A168" s="85" t="s">
        <v>191</v>
      </c>
      <c r="B168" s="55" t="str">
        <f>"Diluir " &amp; ROUND(IF(B2 / 2 &lt;= 10, B2 / 2, 10), 0) &amp; " gotas + 3 mL de SF 0,9% e realizar nebulização, inalando até a solução ser totalmente consumida."</f>
        <v>Diluir 7 gotas + 3 mL de SF 0,9% e realizar nebulização, inalando até a solução ser totalmente consumida.</v>
      </c>
      <c r="D168" s="25"/>
      <c r="E168" s="171"/>
    </row>
    <row r="169" spans="1:5" ht="54.75" x14ac:dyDescent="0.2">
      <c r="A169" s="145" t="s">
        <v>192</v>
      </c>
      <c r="B169" s="143" t="str">
        <f>"Diluir "&amp;ROUNDDOWN(MIN(B2,20),0)&amp;" gotas + 3 mL de SF 0,9% e realizar nebulização, inalando até a solução ser totalmente consumida, de 6/6 horas. Nos casos agudos e/ou de exacerbação do broncoespasmo, utilizar a solução (por nebulização) a cada 20 minutos até estabilização do quadro."</f>
        <v>Diluir 14 gotas + 3 mL de SF 0,9% e realizar nebulização, inalando até a solução ser totalmente consumida, de 6/6 horas. Nos casos agudos e/ou de exacerbação do broncoespasmo, utilizar a solução (por nebulização) a cada 20 minutos até estabilização do quadro.</v>
      </c>
      <c r="D169" s="25"/>
      <c r="E169" s="171"/>
    </row>
    <row r="170" spans="1:5" x14ac:dyDescent="0.2">
      <c r="A170" s="144" t="s">
        <v>193</v>
      </c>
      <c r="B170" s="143" t="str">
        <f>IF(B1&gt;12,"Aerossol: Realizar 2 inalações de 12/12 horas; Disco: Realizar 1 inalação de 12/12 horas.",IF(B1&gt;4,"Aerossol: Realizar 2 inalações de 12/12 horas; Disco: Realizar 1 inalação de 12/12 horas.", "Idade inferior a 4 anos, uso não indicado."))</f>
        <v>Idade inferior a 4 anos, uso não indicado.</v>
      </c>
      <c r="D170" s="25"/>
      <c r="E170" s="171"/>
    </row>
    <row r="171" spans="1:5" ht="27.75" x14ac:dyDescent="0.2">
      <c r="A171" s="56" t="s">
        <v>194</v>
      </c>
      <c r="B171" s="139" t="str">
        <f>IF(B1&lt;0.5,"Contraindicado para pacientes abaixo de 6 meses de vida.", "Dar 1 sachê ao dia em jejum por 10 dias consecutivos. Fazer intervalo de 20 dias e retornar por mais 10 dias. Repetir o ciclo por 3 meses seguidos.")</f>
        <v>Dar 1 sachê ao dia em jejum por 10 dias consecutivos. Fazer intervalo de 20 dias e retornar por mais 10 dias. Repetir o ciclo por 3 meses seguidos.</v>
      </c>
      <c r="D171" s="25"/>
      <c r="E171" s="171"/>
    </row>
    <row r="172" spans="1:5" x14ac:dyDescent="0.2">
      <c r="A172" s="102" t="s">
        <v>195</v>
      </c>
      <c r="B172" s="60"/>
      <c r="D172" s="25"/>
      <c r="E172" s="171"/>
    </row>
    <row r="173" spans="1:5" x14ac:dyDescent="0.2">
      <c r="A173" s="57" t="s">
        <v>197</v>
      </c>
      <c r="B173" s="55" t="str">
        <f>"Tomar "&amp;ROUND(B2 * IF(B1&lt;5, 5, 10), 0) &amp; " mL SRO 0,9% de reidratação oral, tomar de 4 em 4 horas."</f>
        <v>Tomar 72 mL SRO 0,9% de reidratação oral, tomar de 4 em 4 horas.</v>
      </c>
      <c r="D173" s="25"/>
      <c r="E173" s="171"/>
    </row>
    <row r="174" spans="1:5" x14ac:dyDescent="0.2">
      <c r="A174" s="57" t="s">
        <v>198</v>
      </c>
      <c r="B174" s="55" t="str">
        <f>"Tomar "&amp;IF(B1&lt;6, ROUND(10 / (10 / 2.5), 2), ROUND(20 / (10 / 2.5), 2)) &amp; " mL de xarope de zinco, uma vez por dia. Por 7 dias."</f>
        <v>Tomar 2,5 mL de xarope de zinco, uma vez por dia. Por 7 dias.</v>
      </c>
      <c r="D174" s="25"/>
      <c r="E174" s="171"/>
    </row>
    <row r="175" spans="1:5" x14ac:dyDescent="0.2">
      <c r="A175" s="57" t="s">
        <v>199</v>
      </c>
      <c r="B175" s="55" t="str">
        <f>"Dar "&amp;IF(B1&gt;=5, "1 flaconete por via oral uma vez ao dia. Por 7 dias.", "1 flaconete por via oral uma vez ao dia. Por 7 dias.")</f>
        <v>Dar 1 flaconete por via oral uma vez ao dia. Por 7 dias.</v>
      </c>
      <c r="D175" s="25"/>
      <c r="E175" s="171"/>
    </row>
    <row r="176" spans="1:5" x14ac:dyDescent="0.2">
      <c r="A176" s="87" t="s">
        <v>196</v>
      </c>
      <c r="B176" s="55" t="str">
        <f>"Dar "&amp;IF(B1&gt;=5, "1 flaconete por via oral uma vez ao dia", "1 flaconete por via oral uma vez ao dia.")</f>
        <v>Dar 1 flaconete por via oral uma vez ao dia.</v>
      </c>
      <c r="D176" s="25"/>
      <c r="E176" s="171"/>
    </row>
    <row r="177" spans="1:4" ht="27.75" x14ac:dyDescent="0.2">
      <c r="A177" s="57" t="s">
        <v>200</v>
      </c>
      <c r="B177" s="55" t="str">
        <f>IF(B1&gt;18, "100 mg Tomar 1 sachê de 100 mg por via oral de 8/8 horas. Por no máximo 7 dias.", IF(B2&lt;=25, "10 mg Tomar 1 sachê de 10 mg por via oral de 8/8 horas. Por no máximo 7 dias.", "30 mg Tomar 1 sachê de 30 mg por via oral de 8/8 horas. Por no máximo 7 dias."))</f>
        <v>10 mg Tomar 1 sachê de 10 mg por via oral de 8/8 horas. Por no máximo 7 dias.</v>
      </c>
      <c r="D177" s="25"/>
    </row>
    <row r="178" spans="1:4" x14ac:dyDescent="0.2">
      <c r="A178" s="102" t="s">
        <v>201</v>
      </c>
      <c r="B178" s="60"/>
      <c r="D178" s="25"/>
    </row>
    <row r="179" spans="1:4" ht="27.75" x14ac:dyDescent="0.2">
      <c r="A179" s="57" t="s">
        <v>202</v>
      </c>
      <c r="B179" s="55" t="str">
        <f>"Tomar "&amp;ROUNDDOWN(MIN(B2*0.5,60)/3,1)&amp;" mL por via oral de 8/8 horas. (Observação: 1 frasco contém 120 mL)."</f>
        <v>Tomar 2,3 mL por via oral de 8/8 horas. (Observação: 1 frasco contém 120 mL).</v>
      </c>
      <c r="D179" s="25"/>
    </row>
    <row r="180" spans="1:4" ht="45.75" customHeight="1" x14ac:dyDescent="0.2">
      <c r="A180" s="104" t="s">
        <v>203</v>
      </c>
      <c r="B180" s="55" t="str">
        <f>IF(B2&lt;11,"Contraindicado","Administrar "&amp;IF(B2&lt;=22,"33",IF(B2&lt;=43,"66","100"))&amp;" mL por via retal. Observação: Orientar a criança ou responsável para reter a solução por cerca de 2 a 5 minutos antes da evacuação.")</f>
        <v>Administrar 33 mL por via retal. Observação: Orientar a criança ou responsável para reter a solução por cerca de 2 a 5 minutos antes da evacuação.</v>
      </c>
      <c r="C180" s="27"/>
      <c r="D180" s="25"/>
    </row>
    <row r="181" spans="1:4" x14ac:dyDescent="0.2">
      <c r="A181" s="57" t="s">
        <v>204</v>
      </c>
      <c r="B181" s="55" t="str">
        <f>IF(B1&lt;2,"Contraindicado",IF(B1&lt;=5,"Tomar 5 a 15 mL por via oral, uma vez ao dia, preferencialmente à noite.",IF(B1&lt;=11,"Tomar 15 a 30 mL por via oral, uma vez ao dia, preferencialmente à noite.",IF(B1&gt;=12,"Tomar 30 a 60 mL por via oral, uma vez ao dia, preferencialmente à noite.", "Idade inválida"))))</f>
        <v>Tomar 5 a 15 mL por via oral, uma vez ao dia, preferencialmente à noite.</v>
      </c>
      <c r="C181" s="27"/>
      <c r="D181" s="25"/>
    </row>
    <row r="182" spans="1:4" ht="27.75" x14ac:dyDescent="0.2">
      <c r="A182" s="104" t="s">
        <v>205</v>
      </c>
      <c r="B182" s="55" t="str">
        <f>"Dissolver " &amp; ROUNDUP(IF(B2*1&gt;28,28,B2*1)/14,0) &amp; " sachê(s) com " &amp; ROUNDUP(IF(B2*1&gt;28,28,B2*1)/14,0)*100 &amp; " mL de água filtrada. Ingerir " &amp; ROUNDUP(IF(B2*1&gt;28,28,B2*1)/0.14,0) &amp; " mL da solução por via oral. Uma vez ao dia."</f>
        <v>Dissolver 2 sachê(s) com 200 mL de água filtrada. Ingerir 103 mL da solução por via oral. Uma vez ao dia.</v>
      </c>
      <c r="C182" s="27"/>
      <c r="D182" s="25"/>
    </row>
    <row r="183" spans="1:4" ht="41.25" x14ac:dyDescent="0.2">
      <c r="A183" s="57" t="s">
        <v>206</v>
      </c>
      <c r="B183" s="55" t="str">
        <f>IF(B2&lt;1,"Contraindicado para crianças menores de 1 ano.", "Tomar "&amp;ROUND(MIN(B2*0.5,22.5),1)&amp;" mL do óleo mineral puro por via oral de 12/12 horas. De preferência em jejum ou entre as refeições para melhores resultados. Observação: Evitar a ingestão noturna.")</f>
        <v>Tomar 7,2 mL do óleo mineral puro por via oral de 12/12 horas. De preferência em jejum ou entre as refeições para melhores resultados. Observação: Evitar a ingestão noturna.</v>
      </c>
      <c r="C183" s="27"/>
      <c r="D183" s="25"/>
    </row>
    <row r="184" spans="1:4" ht="27.75" x14ac:dyDescent="0.2">
      <c r="A184" s="57" t="s">
        <v>207</v>
      </c>
      <c r="B184" s="55" t="str">
        <f>IF(B1&lt;2,"Contraindicado", "Utilizar "&amp;MIN(B2*10,500)&amp;" mL por via retal. Orientar o paciente a reter a substância por 2 minutos ou até sentir a vontade de evacuar.")</f>
        <v>Utilizar 143 mL por via retal. Orientar o paciente a reter a substância por 2 minutos ou até sentir a vontade de evacuar.</v>
      </c>
      <c r="C184" s="27"/>
      <c r="D184" s="25"/>
    </row>
    <row r="185" spans="1:4" ht="27.75" x14ac:dyDescent="0.2">
      <c r="A185" s="57" t="s">
        <v>208</v>
      </c>
      <c r="B185" s="55" t="str">
        <f>IF(B1&lt;2,"Contraindicado", "Tomar "&amp;MIN(B2*1.4/2,40/2)&amp;" mL por via oral de 12/12 horas. Por 3 a 5 dias, ou até evacuar.")</f>
        <v>Tomar 10,01 mL por via oral de 12/12 horas. Por 3 a 5 dias, ou até evacuar.</v>
      </c>
      <c r="C185" s="27"/>
      <c r="D185" s="25"/>
    </row>
    <row r="186" spans="1:4" x14ac:dyDescent="0.2">
      <c r="A186" s="170" t="s">
        <v>209</v>
      </c>
      <c r="B186" s="60"/>
      <c r="C186" s="27"/>
      <c r="D186" s="25"/>
    </row>
    <row r="187" spans="1:4" ht="41.25" x14ac:dyDescent="0.2">
      <c r="A187" s="109" t="s">
        <v>210</v>
      </c>
      <c r="B187" s="55" t="str">
        <f>"Diluir "&amp;ROUNDDOWN(MIN(MIN(B2*10,1000)/50,20),1)&amp;" mL + "&amp;IF(ROUNDDOWN(MIN(MIN(B2*10,1000)/50,20),1)&lt;=5,"50","100")&amp;" mL de SF 0,9% ou SG 5%. Administrar de 8/8 horas. Infundir a "&amp;ROUNDDOWN((ROUNDDOWN(MIN(MIN(B2*10,1000)/50,20),1)+IF(ROUNDDOWN(MIN(MIN(B2*10,1000)/50,20),1)&lt;=5,50,100))/(50/60),2)&amp;" mL/hora por via EV. (Observação: A administração endovenosa deverá ser o mais lenta possível)."</f>
        <v>Diluir 2,8 mL + 50 mL de SF 0,9% ou SG 5%. Administrar de 8/8 horas. Infundir a 63,36 mL/hora por via EV. (Observação: A administração endovenosa deverá ser o mais lenta possível).</v>
      </c>
      <c r="C187" s="27"/>
      <c r="D187" s="25"/>
    </row>
    <row r="188" spans="1:4" x14ac:dyDescent="0.2">
      <c r="A188" s="170" t="s">
        <v>211</v>
      </c>
      <c r="B188" s="60"/>
      <c r="C188" s="27"/>
      <c r="D188" s="25"/>
    </row>
    <row r="189" spans="1:4" ht="27.75" x14ac:dyDescent="0.2">
      <c r="A189" s="57" t="s">
        <v>212</v>
      </c>
      <c r="B189" s="28" t="str">
        <f>IF(B1&lt;=6,"Crianças até 6 anos de idade: Tomar 6 gotas por via oral uma vez ao dia. Todos os dias.", "Crianças acima de 6 anos de idade: Tomar 12 gotas por via oral uma vez ao dia. Todos os dias.")</f>
        <v>Crianças até 6 anos de idade: Tomar 6 gotas por via oral uma vez ao dia. Todos os dias.</v>
      </c>
      <c r="C189" s="27"/>
      <c r="D189" s="25"/>
    </row>
    <row r="190" spans="1:4" ht="22.5" customHeight="1" x14ac:dyDescent="0.2">
      <c r="A190" s="110" t="s">
        <v>213</v>
      </c>
      <c r="B190" s="28" t="str">
        <f>"Tomar "&amp;ROUNDUP(MIN(B2*3/100*20,120/100*20),0)&amp;" gotas por via oral uma vez ao dia."</f>
        <v>Tomar 9 gotas por via oral uma vez ao dia.</v>
      </c>
      <c r="C190" s="27"/>
      <c r="D190" s="25"/>
    </row>
    <row r="191" spans="1:4" x14ac:dyDescent="0.2">
      <c r="A191" s="118" t="s">
        <v>214</v>
      </c>
      <c r="B191" s="60"/>
      <c r="C191" s="27"/>
      <c r="D191" s="25"/>
    </row>
    <row r="192" spans="1:4" x14ac:dyDescent="0.2">
      <c r="A192" s="104" t="s">
        <v>215</v>
      </c>
      <c r="B192" s="28" t="str">
        <f>IF(B2&lt;1,"Contraindicado","Tomar "&amp;TEXT((B2*7.5)/20,"0,0")&amp;" mL por via oral de 12/12 horas. Por 3 dias.")</f>
        <v>Tomar 5,4 mL por via oral de 12/12 horas. Por 3 dias.</v>
      </c>
      <c r="C192" s="27"/>
      <c r="D192" s="25"/>
    </row>
    <row r="193" spans="1:4" ht="27.75" x14ac:dyDescent="0.2">
      <c r="A193" s="57" t="s">
        <v>216</v>
      </c>
      <c r="B193" s="55" t="str">
        <f>IF(B1&lt;2,"Contraindicado.", "Tomar "&amp;ROUNDUP(400/40,0)&amp;" mL por via oral. Dose única ou a cada 24/24 horas. Por 3 a 5 dias.")</f>
        <v>Tomar 10 mL por via oral. Dose única ou a cada 24/24 horas. Por 3 a 5 dias.</v>
      </c>
      <c r="C193" s="27"/>
      <c r="D193" s="25"/>
    </row>
    <row r="194" spans="1:4" x14ac:dyDescent="0.2">
      <c r="A194" s="104" t="s">
        <v>217</v>
      </c>
      <c r="B194" s="55" t="str">
        <f>"Tomar "&amp;IF(B2&lt;=24, "½ cp por via oral. Dose única", IF(B2&lt;=35, "1 cp por via oral. Dose única", IF(B2&lt;=50, "1½ cp por via oral. Dose única", IF(B2&lt;=65, "2 cp por via oral. Dose única", IF(B2&lt;=79, "2½ cp por via oral. Dose única", "3 cp por via oral. Dose única")))))</f>
        <v>Tomar ½ cp por via oral. Dose única</v>
      </c>
      <c r="C194" s="27"/>
      <c r="D194" s="25"/>
    </row>
    <row r="195" spans="1:4" x14ac:dyDescent="0.2">
      <c r="A195" s="119" t="s">
        <v>218</v>
      </c>
      <c r="B195" s="141" t="str">
        <f>IF(B2&lt;1,"Contraindicado",IF(B2&lt;2," ", "Tomar 5 mL por via oral de 12/12 horas. Por 3 dias."))</f>
        <v>Tomar 5 mL por via oral de 12/12 horas. Por 3 dias.</v>
      </c>
      <c r="C195" s="147" t="s">
        <v>219</v>
      </c>
      <c r="D195" s="25"/>
    </row>
    <row r="196" spans="1:4" ht="33" customHeight="1" x14ac:dyDescent="0.2">
      <c r="A196" s="57" t="s">
        <v>220</v>
      </c>
      <c r="B196" s="141" t="str">
        <f>IF(B2&lt;10,"Não recomendado", "Tomar "&amp;MIN(B2*1,60)&amp;" mL por via oral em dose única diária. Recomenda-se a repetição da dose cerca de 2 semanas após a primeira administração.")</f>
        <v>Tomar 14,3 mL por via oral em dose única diária. Recomenda-se a repetição da dose cerca de 2 semanas após a primeira administração.</v>
      </c>
      <c r="C196" s="147" t="s">
        <v>221</v>
      </c>
      <c r="D196" s="33"/>
    </row>
    <row r="197" spans="1:4" ht="27.75" x14ac:dyDescent="0.2">
      <c r="A197" s="57" t="s">
        <v>222</v>
      </c>
      <c r="B197" s="28" t="str">
        <f>"Tomar "&amp;ROUNDUP(MIN(B2*30/30,2000/30),2)&amp;" mL por via oral uma vez ao dia, preferencialmente à noite, após o jantar. Em dose única ou Por 5 a 7 dias."</f>
        <v>Tomar 14,3 mL por via oral uma vez ao dia, preferencialmente à noite, após o jantar. Em dose única ou Por 5 a 7 dias.</v>
      </c>
      <c r="C197" s="27"/>
      <c r="D197" s="25"/>
    </row>
    <row r="198" spans="1:4" x14ac:dyDescent="0.2">
      <c r="A198" s="120" t="s">
        <v>223</v>
      </c>
      <c r="B198" s="60"/>
      <c r="C198" s="27"/>
      <c r="D198" s="25"/>
    </row>
    <row r="199" spans="1:4" ht="27.75" x14ac:dyDescent="0.2">
      <c r="A199" s="57" t="s">
        <v>224</v>
      </c>
      <c r="B199" s="55" t="str">
        <f>"Utilizar "&amp;ROUNDDOWN(MIN(B2*0.5,3),2)&amp;" mL de adrenalina 1 mg/mL diluída em 3 mL de SF 0,9% por nebulização. Pode ser repetido a cada 20 minutos até 3 vezes em 1 hora."</f>
        <v>Utilizar 3 mL de adrenalina 1 mg/mL diluída em 3 mL de SF 0,9% por nebulização. Pode ser repetido a cada 20 minutos até 3 vezes em 1 hora.</v>
      </c>
      <c r="C199" s="27"/>
      <c r="D199" s="25"/>
    </row>
    <row r="200" spans="1:4" x14ac:dyDescent="0.2">
      <c r="A200" s="84" t="s">
        <v>225</v>
      </c>
      <c r="B200" s="55" t="str">
        <f>"Utilizar "&amp;IF(B1&lt;18,"3 a 5 mL de água destilada pura","3 a 5 mL de água destilada pura ou conforme orientação médica")&amp;" por nebulização."</f>
        <v>Utilizar 3 a 5 mL de água destilada pura por nebulização.</v>
      </c>
      <c r="C200" s="27"/>
      <c r="D200" s="25"/>
    </row>
    <row r="201" spans="1:4" ht="27.75" x14ac:dyDescent="0.2">
      <c r="A201" s="84" t="s">
        <v>226</v>
      </c>
      <c r="B201" s="55" t="str">
        <f>IF(B1&lt;1,"Utilizar 1 a 2 mL de NaCl 20% diluído em 1 a 2 mL de SF 0,9%. Nebulização de 8/8 horas. Pode repetir de 20/20 minutos até 3 vezes em 1 hora.",
IF(B1&lt;18,"Utilizar 3 mL de NaCl 20% puro ou diluído em SF 0,9%. Nebulização de 8/8 horas. Pode repetir de 20/20 minutos até 3 vezes em 1 hora.",
"Utilizar 3 a 5 mL de NaCl 20% puro ou diluído em SF 0,9%. Nebulização de 8/8 horas. Pode repetir de 20/20 minutos até 3 vezes em 1 hora."))</f>
        <v>Utilizar 3 mL de NaCl 20% puro ou diluído em SF 0,9%. Nebulização de 8/8 horas. Pode repetir de 20/20 minutos até 3 vezes em 1 hora.</v>
      </c>
      <c r="C201" s="27"/>
      <c r="D201" s="25"/>
    </row>
    <row r="202" spans="1:4" x14ac:dyDescent="0.2">
      <c r="A202" s="118" t="s">
        <v>227</v>
      </c>
      <c r="B202" s="60"/>
      <c r="C202" s="65" t="s">
        <v>228</v>
      </c>
      <c r="D202" s="25"/>
    </row>
    <row r="203" spans="1:4" x14ac:dyDescent="0.2">
      <c r="A203" s="57" t="s">
        <v>229</v>
      </c>
      <c r="B203" s="43" t="str">
        <f>"Tomar "&amp;ROUNDUP(MIN(B2*1/5*5,30/5),1)&amp;" mL por via oral de 8/8 horas. Por 5 a 7 dias."</f>
        <v>Tomar 6 mL por via oral de 8/8 horas. Por 5 a 7 dias.</v>
      </c>
      <c r="C203" s="148" t="s">
        <v>230</v>
      </c>
      <c r="D203" s="25"/>
    </row>
    <row r="204" spans="1:4" x14ac:dyDescent="0.2">
      <c r="A204" s="57" t="s">
        <v>231</v>
      </c>
      <c r="B204" s="43" t="str">
        <f>IF(B1&lt;2,"Contraindicado para crianças menores de 2 anos.",
IF(AND(B1&gt;=2,B1&lt;=5),"Tomar 1 mL por via oral de 8/8 horas. Por 7 a 14 dias.",
IF(AND(B1&gt;=6,B1&lt;=12),"Tomar 2 mL por via oral de 8/8 horas. Por 7 a 14 dias.",
"Verificar faixa de idade adequada.")))</f>
        <v>Tomar 1 mL por via oral de 8/8 horas. Por 7 a 14 dias.</v>
      </c>
      <c r="C204" s="148" t="s">
        <v>232</v>
      </c>
      <c r="D204" s="25"/>
    </row>
    <row r="205" spans="1:4" x14ac:dyDescent="0.2">
      <c r="A205" s="124" t="s">
        <v>233</v>
      </c>
      <c r="B205" s="43" t="str">
        <f>"Tomar "&amp;ROUNDUP(MIN(B2*2/30*5,IF(B2&lt;=30,60/30*5,180/30*5)),1)&amp;" mL por via oral de 8/8 horas. Por 5 a 7 dias."</f>
        <v>Tomar 4,8 mL por via oral de 8/8 horas. Por 5 a 7 dias.</v>
      </c>
      <c r="C205" s="148" t="s">
        <v>234</v>
      </c>
      <c r="D205" s="25"/>
    </row>
    <row r="206" spans="1:4" x14ac:dyDescent="0.2">
      <c r="A206" s="87" t="s">
        <v>235</v>
      </c>
      <c r="B206" s="43" t="str">
        <f>"Tomar "&amp;ROUNDUP(MIN(B2*20/20/3,IF(B1&lt;=5,200/20/3,300/20/3)),1)&amp;" mL por via oral de 8/8 horas por 5 a 10 dias."</f>
        <v>Tomar 3,4 mL por via oral de 8/8 horas por 5 a 10 dias.</v>
      </c>
      <c r="C206" s="148" t="s">
        <v>230</v>
      </c>
      <c r="D206" s="25"/>
    </row>
    <row r="207" spans="1:4" x14ac:dyDescent="0.2">
      <c r="A207" s="121" t="s">
        <v>236</v>
      </c>
      <c r="B207" s="99"/>
      <c r="C207" s="151" t="s">
        <v>228</v>
      </c>
      <c r="D207" s="25"/>
    </row>
    <row r="208" spans="1:4" ht="27.75" x14ac:dyDescent="0.2">
      <c r="A208" s="122" t="s">
        <v>237</v>
      </c>
      <c r="B208" s="43" t="str">
        <f>"Pingar 1 gota no(s) olho(s) afetado(s) de 4/4 horas. Ate melhora do quadro."</f>
        <v>Pingar 1 gota no(s) olho(s) afetado(s) de 4/4 horas. Ate melhora do quadro.</v>
      </c>
      <c r="C208" s="103" t="s">
        <v>238</v>
      </c>
      <c r="D208" s="25"/>
    </row>
    <row r="209" spans="1:4" x14ac:dyDescent="0.2">
      <c r="A209" s="122" t="s">
        <v>239</v>
      </c>
      <c r="B209" s="43" t="str">
        <f>"Pingar 1 gota no(s) olho(s) afetado(s) uma vez ao dia. Por 6 semanas."</f>
        <v>Pingar 1 gota no(s) olho(s) afetado(s) uma vez ao dia. Por 6 semanas.</v>
      </c>
      <c r="C209" s="103" t="s">
        <v>240</v>
      </c>
      <c r="D209" s="25"/>
    </row>
    <row r="210" spans="1:4" ht="27.75" x14ac:dyDescent="0.2">
      <c r="A210" s="122" t="s">
        <v>241</v>
      </c>
      <c r="B210" s="43" t="str">
        <f>"Pingar 1 gota no(s) olho(s) afetado(s) de 4/4 horas. Ate melhora do quadro."</f>
        <v>Pingar 1 gota no(s) olho(s) afetado(s) de 4/4 horas. Ate melhora do quadro.</v>
      </c>
      <c r="C210" s="103" t="s">
        <v>242</v>
      </c>
      <c r="D210" s="25"/>
    </row>
    <row r="211" spans="1:4" x14ac:dyDescent="0.2">
      <c r="A211" s="123" t="s">
        <v>243</v>
      </c>
      <c r="B211" s="43" t="str">
        <f>"Pingar 1 gota no(s) olho(s) afetado(s) de 4/4 horas. Por 5 dias."</f>
        <v>Pingar 1 gota no(s) olho(s) afetado(s) de 4/4 horas. Por 5 dias.</v>
      </c>
      <c r="C211" s="103" t="s">
        <v>244</v>
      </c>
      <c r="D211" s="25"/>
    </row>
    <row r="212" spans="1:4" ht="27.75" x14ac:dyDescent="0.2">
      <c r="A212" s="122" t="s">
        <v>245</v>
      </c>
      <c r="B212" s="43" t="str">
        <f>"Aplicar 1 CM da pomada, uma fina camada na região do olho afetada de 8/8 horas. Por 5 dias."</f>
        <v>Aplicar 1 CM da pomada, uma fina camada na região do olho afetada de 8/8 horas. Por 5 dias.</v>
      </c>
      <c r="C212" s="103" t="s">
        <v>244</v>
      </c>
      <c r="D212" s="25"/>
    </row>
    <row r="213" spans="1:4" x14ac:dyDescent="0.2">
      <c r="A213" s="122" t="s">
        <v>246</v>
      </c>
      <c r="B213" s="43" t="str">
        <f>"Pingar 1 gota no(s) olho(s) afetado(s) de 8/8 horas. Por 7 dias."</f>
        <v>Pingar 1 gota no(s) olho(s) afetado(s) de 8/8 horas. Por 7 dias.</v>
      </c>
      <c r="C213" s="103" t="s">
        <v>247</v>
      </c>
      <c r="D213" s="25"/>
    </row>
    <row r="214" spans="1:4" ht="27.75" x14ac:dyDescent="0.2">
      <c r="A214" s="122" t="s">
        <v>248</v>
      </c>
      <c r="B214" s="43" t="str">
        <f>"Pingar 1 gota(s) de 2/2 horas no olho acometido. Durante os primeiros 2 dias de tratamento. Seguido de 1 gota de 4/4 horas. Nos 5 dias seguintes."</f>
        <v>Pingar 1 gota(s) de 2/2 horas no olho acometido. Durante os primeiros 2 dias de tratamento. Seguido de 1 gota de 4/4 horas. Nos 5 dias seguintes.</v>
      </c>
      <c r="C214" s="148" t="s">
        <v>249</v>
      </c>
      <c r="D214" s="25"/>
    </row>
    <row r="215" spans="1:4" x14ac:dyDescent="0.2">
      <c r="A215" s="118" t="s">
        <v>250</v>
      </c>
      <c r="B215" s="99"/>
      <c r="C215" s="27"/>
      <c r="D215" s="25"/>
    </row>
    <row r="216" spans="1:4" ht="27.75" x14ac:dyDescent="0.2">
      <c r="A216" s="104" t="s">
        <v>251</v>
      </c>
      <c r="B216" s="55" t="str">
        <f>"Pingar 3 gotas de 8/8 horas no(s) ouvido(s) comprometido(s). Por 7 a 10 dias"</f>
        <v>Pingar 3 gotas de 8/8 horas no(s) ouvido(s) comprometido(s). Por 7 a 10 dias</v>
      </c>
      <c r="C216" s="27"/>
      <c r="D216" s="25"/>
    </row>
    <row r="217" spans="1:4" ht="27.75" x14ac:dyDescent="0.2">
      <c r="A217" s="104" t="s">
        <v>252</v>
      </c>
      <c r="B217" s="55" t="str">
        <f>"Pingar 3 gotas de 8/8 horas no(s) ouvido(s) comprometido(s). Por 7 a 10 dias"</f>
        <v>Pingar 3 gotas de 8/8 horas no(s) ouvido(s) comprometido(s). Por 7 a 10 dias</v>
      </c>
      <c r="D217" s="25"/>
    </row>
    <row r="218" spans="1:4" ht="27.75" x14ac:dyDescent="0.2">
      <c r="A218" s="104" t="s">
        <v>253</v>
      </c>
      <c r="B218" s="55" t="str">
        <f>"Pingar 3 gotas de 8/8 horas no(s) ouvido(s) comprometido(s). Por 7 a 10 dias"</f>
        <v>Pingar 3 gotas de 8/8 horas no(s) ouvido(s) comprometido(s). Por 7 a 10 dias</v>
      </c>
      <c r="C218" s="27"/>
      <c r="D218" s="25"/>
    </row>
    <row r="219" spans="1:4" ht="27.75" x14ac:dyDescent="0.2">
      <c r="A219" s="104" t="s">
        <v>254</v>
      </c>
      <c r="B219" s="55" t="str">
        <f>"Pingar 2 gotas de 8/8 horas no(s) ouvido(s) comprometido(s). Por 7 a 10 dias"</f>
        <v>Pingar 2 gotas de 8/8 horas no(s) ouvido(s) comprometido(s). Por 7 a 10 dias</v>
      </c>
      <c r="C219" s="27"/>
      <c r="D219" s="25"/>
    </row>
    <row r="220" spans="1:4" ht="27.75" x14ac:dyDescent="0.2">
      <c r="A220" s="104" t="s">
        <v>255</v>
      </c>
      <c r="B220" s="55" t="str">
        <f>"Pingar 4 gotas de 8/8 horas no(s) ouvido(s) comprometido(s). Até o desaparecimento da dor e da infecção."</f>
        <v>Pingar 4 gotas de 8/8 horas no(s) ouvido(s) comprometido(s). Até o desaparecimento da dor e da infecção.</v>
      </c>
      <c r="C220" s="132"/>
      <c r="D220" s="25"/>
    </row>
    <row r="221" spans="1:4" ht="27.75" x14ac:dyDescent="0.2">
      <c r="A221" s="124" t="s">
        <v>256</v>
      </c>
      <c r="B221" s="55" t="str">
        <f>"Pingar 2 gotas de 8/8 horas no(s) ouvido(s) comprometido(s). Por 7 a 10 dias"</f>
        <v>Pingar 2 gotas de 8/8 horas no(s) ouvido(s) comprometido(s). Por 7 a 10 dias</v>
      </c>
      <c r="C221" s="27"/>
      <c r="D221" s="25"/>
    </row>
    <row r="222" spans="1:4" x14ac:dyDescent="0.2">
      <c r="A222" s="104" t="s">
        <v>257</v>
      </c>
      <c r="B222" s="55" t="str">
        <f>"Pingar 3 gotas de 8/8 horas no(s) ouvido(s) comprometido(s). Por 21 dias"</f>
        <v>Pingar 3 gotas de 8/8 horas no(s) ouvido(s) comprometido(s). Por 21 dias</v>
      </c>
      <c r="C222" s="152"/>
      <c r="D222" s="25"/>
    </row>
    <row r="223" spans="1:4" x14ac:dyDescent="0.2">
      <c r="A223" s="118" t="s">
        <v>258</v>
      </c>
      <c r="B223" s="99"/>
      <c r="C223" s="27"/>
      <c r="D223" s="25"/>
    </row>
    <row r="224" spans="1:4" x14ac:dyDescent="0.2">
      <c r="A224" s="104" t="s">
        <v>259</v>
      </c>
      <c r="B224" s="55" t="str">
        <f>"Administrar 2 jatos em região nasal de 12/12 horas."</f>
        <v>Administrar 2 jatos em região nasal de 12/12 horas.</v>
      </c>
      <c r="C224" s="27"/>
      <c r="D224" s="25"/>
    </row>
    <row r="225" spans="1:4" x14ac:dyDescent="0.2">
      <c r="A225" s="104" t="s">
        <v>260</v>
      </c>
      <c r="B225" s="55" t="str">
        <f>"Administrar 2 jatos em região nasal de 12/12 horas."</f>
        <v>Administrar 2 jatos em região nasal de 12/12 horas.</v>
      </c>
      <c r="C225" s="27"/>
      <c r="D225" s="25"/>
    </row>
    <row r="226" spans="1:4" x14ac:dyDescent="0.2">
      <c r="A226" s="104" t="s">
        <v>261</v>
      </c>
      <c r="B226" s="55" t="str">
        <f>"Administrar 2 jatos em região nasal de 12/12 horas."</f>
        <v>Administrar 2 jatos em região nasal de 12/12 horas.</v>
      </c>
      <c r="C226" s="27"/>
      <c r="D226" s="25"/>
    </row>
    <row r="227" spans="1:4" x14ac:dyDescent="0.2">
      <c r="A227" s="104" t="s">
        <v>262</v>
      </c>
      <c r="B227" s="55" t="str">
        <f>"Administrar 4 jatos em região nasal de 6/6 horas. Por 5 dias."</f>
        <v>Administrar 4 jatos em região nasal de 6/6 horas. Por 5 dias.</v>
      </c>
      <c r="C227" s="27"/>
      <c r="D227" s="25"/>
    </row>
    <row r="228" spans="1:4" x14ac:dyDescent="0.2">
      <c r="A228" s="119" t="s">
        <v>263</v>
      </c>
      <c r="B228" s="55" t="str">
        <f>"Administrar 2 jatos em região nasal de 12/12 horas."</f>
        <v>Administrar 2 jatos em região nasal de 12/12 horas.</v>
      </c>
      <c r="C228" s="27"/>
      <c r="D228" s="25"/>
    </row>
    <row r="229" spans="1:4" x14ac:dyDescent="0.2">
      <c r="A229" s="170" t="s">
        <v>264</v>
      </c>
      <c r="B229" s="99"/>
      <c r="C229" s="65" t="s">
        <v>228</v>
      </c>
      <c r="D229" s="25"/>
    </row>
    <row r="230" spans="1:4" ht="41.25" x14ac:dyDescent="0.2">
      <c r="A230" s="57" t="s">
        <v>265</v>
      </c>
      <c r="B230" s="28" t="str">
        <f>"Aplicar nas lesões e dentro das narinas de 6/6 horas por 10 dias. Manter as unhas curtas e limpas. Realizar a limpeza das lesões com água e sabão antes da aplicação da pomada."</f>
        <v>Aplicar nas lesões e dentro das narinas de 6/6 horas por 10 dias. Manter as unhas curtas e limpas. Realizar a limpeza das lesões com água e sabão antes da aplicação da pomada.</v>
      </c>
      <c r="C230" s="133" t="s">
        <v>266</v>
      </c>
      <c r="D230" s="25"/>
    </row>
    <row r="231" spans="1:4" ht="27.75" x14ac:dyDescent="0.2">
      <c r="A231" s="57" t="s">
        <v>267</v>
      </c>
      <c r="B231" s="28" t="s">
        <v>268</v>
      </c>
      <c r="C231" s="133" t="s">
        <v>269</v>
      </c>
      <c r="D231" s="25"/>
    </row>
    <row r="232" spans="1:4" ht="41.25" x14ac:dyDescent="0.2">
      <c r="A232" s="57" t="s">
        <v>270</v>
      </c>
      <c r="B232" s="28" t="str">
        <f>"Aplicar uma fina camada no local afetado de 12/12 horas por 10 dias. Indicado para dermatites: de contato, atópica, seborreica, intertrigo, desidrose e neurodermatite."</f>
        <v>Aplicar uma fina camada no local afetado de 12/12 horas por 10 dias. Indicado para dermatites: de contato, atópica, seborreica, intertrigo, desidrose e neurodermatite.</v>
      </c>
      <c r="C232" s="148" t="s">
        <v>271</v>
      </c>
      <c r="D232" s="25"/>
    </row>
    <row r="233" spans="1:4" x14ac:dyDescent="0.2">
      <c r="A233" s="57" t="s">
        <v>272</v>
      </c>
      <c r="B233" s="28" t="str">
        <f>"Aplicar uma fina camada no local afetado de 12/12 horas por 10 dias."</f>
        <v>Aplicar uma fina camada no local afetado de 12/12 horas por 10 dias.</v>
      </c>
      <c r="C233" s="148" t="s">
        <v>273</v>
      </c>
      <c r="D233" s="25"/>
    </row>
    <row r="234" spans="1:4" ht="27.75" x14ac:dyDescent="0.2">
      <c r="A234" s="57" t="s">
        <v>274</v>
      </c>
      <c r="B234" s="28" t="str">
        <f>"Aplicar uma camada no local afetado de 12/12 horas por 10 dias como tratamento."</f>
        <v>Aplicar uma camada no local afetado de 12/12 horas por 10 dias como tratamento.</v>
      </c>
      <c r="C234" s="148" t="s">
        <v>275</v>
      </c>
      <c r="D234" s="25"/>
    </row>
    <row r="235" spans="1:4" x14ac:dyDescent="0.2">
      <c r="A235" s="57" t="s">
        <v>276</v>
      </c>
      <c r="B235" s="28" t="str">
        <f>"Aplicar na região do prepúcio de 12/12 horas por 3 semanas."</f>
        <v>Aplicar na região do prepúcio de 12/12 horas por 3 semanas.</v>
      </c>
      <c r="C235" s="148" t="s">
        <v>277</v>
      </c>
      <c r="D235" s="25"/>
    </row>
    <row r="236" spans="1:4" ht="27.75" x14ac:dyDescent="0.2">
      <c r="A236" s="57" t="s">
        <v>278</v>
      </c>
      <c r="B236" s="28" t="str">
        <f>"Aplicar uma fina camada no local afetado de 12/12 horas por 10 dias."</f>
        <v>Aplicar uma fina camada no local afetado de 12/12 horas por 10 dias.</v>
      </c>
      <c r="C236" s="148" t="s">
        <v>279</v>
      </c>
      <c r="D236" s="25"/>
    </row>
    <row r="237" spans="1:4" ht="27.75" x14ac:dyDescent="0.2">
      <c r="A237" s="57" t="s">
        <v>280</v>
      </c>
      <c r="B237" s="28" t="str">
        <f>"Aplicar nas lesões, 2 vezes ao dia, até melhorar. (Não passar no rosto). Manter as unhas curtas e limpas."</f>
        <v>Aplicar nas lesões, 2 vezes ao dia, até melhorar. (Não passar no rosto). Manter as unhas curtas e limpas.</v>
      </c>
      <c r="C237" s="148" t="s">
        <v>281</v>
      </c>
      <c r="D237" s="25"/>
    </row>
    <row r="238" spans="1:4" x14ac:dyDescent="0.2">
      <c r="A238" s="57" t="s">
        <v>282</v>
      </c>
      <c r="B238" s="28" t="str">
        <f>"Passar na(s) assadura(s) de 8/8 horas por 5 dias."</f>
        <v>Passar na(s) assadura(s) de 8/8 horas por 5 dias.</v>
      </c>
      <c r="C238" s="148" t="s">
        <v>283</v>
      </c>
      <c r="D238" s="25"/>
    </row>
    <row r="239" spans="1:4" ht="27.75" x14ac:dyDescent="0.2">
      <c r="A239" s="57" t="s">
        <v>284</v>
      </c>
      <c r="B239" s="28" t="str">
        <f>"Passar na(s) assadura(s) a cada troca de fraldas ou de 6/6 horas por 14 dias."</f>
        <v>Passar na(s) assadura(s) a cada troca de fraldas ou de 6/6 horas por 14 dias.</v>
      </c>
      <c r="C239" s="148" t="s">
        <v>285</v>
      </c>
      <c r="D239" s="25"/>
    </row>
    <row r="240" spans="1:4" ht="41.25" x14ac:dyDescent="0.2">
      <c r="A240" s="57" t="s">
        <v>286</v>
      </c>
      <c r="B240" s="28" t="str">
        <f>"Aplicar e friccionar levemente. Manter a espuma sem enxaguar por 10 minutos. Depois enxaguar bem. Repetir por 4 dias consecutivos. Fazer intervalo de 7 dias e repetir por mais 4 dias."</f>
        <v>Aplicar e friccionar levemente. Manter a espuma sem enxaguar por 10 minutos. Depois enxaguar bem. Repetir por 4 dias consecutivos. Fazer intervalo de 7 dias e repetir por mais 4 dias.</v>
      </c>
      <c r="C240" s="148" t="s">
        <v>287</v>
      </c>
      <c r="D240" s="25"/>
    </row>
    <row r="241" spans="1:4" ht="27.75" x14ac:dyDescent="0.2">
      <c r="A241" s="57" t="s">
        <v>265</v>
      </c>
      <c r="B241" s="28" t="str">
        <f>"Aplicar dentro das narinas com um cotonete de 6/6 horas por 5 dias. Retorno com otorrino em 1 semana para reavaliação."</f>
        <v>Aplicar dentro das narinas com um cotonete de 6/6 horas por 5 dias. Retorno com otorrino em 1 semana para reavaliação.</v>
      </c>
      <c r="C241" s="148" t="s">
        <v>288</v>
      </c>
      <c r="D241" s="25"/>
    </row>
    <row r="242" spans="1:4" ht="41.25" x14ac:dyDescent="0.2">
      <c r="A242" s="57" t="s">
        <v>289</v>
      </c>
      <c r="B242" s="28" t="str">
        <f>"Aplicar e friccionar nas áreas afetadas após o banho e deixar até o próximo banho. Repetir por 4 dias consecutivos. Fazer intervalo de 7 dias e repetir por mais 4 dias."</f>
        <v>Aplicar e friccionar nas áreas afetadas após o banho e deixar até o próximo banho. Repetir por 4 dias consecutivos. Fazer intervalo de 7 dias e repetir por mais 4 dias.</v>
      </c>
      <c r="C242" s="148" t="s">
        <v>290</v>
      </c>
      <c r="D242" s="25"/>
    </row>
    <row r="243" spans="1:4" ht="41.25" x14ac:dyDescent="0.2">
      <c r="A243" s="57" t="s">
        <v>291</v>
      </c>
      <c r="B243" s="28" t="str">
        <f>"Aplicar e friccionar levemente abaixo do pescoço. Retirar no próximo dia. Para menores de 1 mês, retirar em menos de 6 horas. Repetir o tratamento entre 5 a 7 dias."</f>
        <v>Aplicar e friccionar levemente abaixo do pescoço. Retirar no próximo dia. Para menores de 1 mês, retirar em menos de 6 horas. Repetir o tratamento entre 5 a 7 dias.</v>
      </c>
      <c r="C243" s="133" t="s">
        <v>292</v>
      </c>
      <c r="D243" s="25"/>
    </row>
    <row r="244" spans="1:4" x14ac:dyDescent="0.2">
      <c r="A244" s="57" t="s">
        <v>293</v>
      </c>
      <c r="B244" s="28" t="str">
        <f>"Aplicar creme tópico na região acometida de 4/4 horas por 4 dias."</f>
        <v>Aplicar creme tópico na região acometida de 4/4 horas por 4 dias.</v>
      </c>
      <c r="C244" s="133" t="s">
        <v>294</v>
      </c>
      <c r="D244" s="25"/>
    </row>
    <row r="245" spans="1:4" x14ac:dyDescent="0.2">
      <c r="A245" s="57" t="s">
        <v>295</v>
      </c>
      <c r="B245" s="28" t="str">
        <f>"Aplicar uma camada fina sobre a pele lesionada de 8/8 horas por 7 dias."</f>
        <v>Aplicar uma camada fina sobre a pele lesionada de 8/8 horas por 7 dias.</v>
      </c>
      <c r="C245" s="133" t="s">
        <v>296</v>
      </c>
      <c r="D245" s="25"/>
    </row>
    <row r="246" spans="1:4" x14ac:dyDescent="0.2">
      <c r="A246" s="111" t="s">
        <v>297</v>
      </c>
      <c r="B246" s="28" t="str">
        <f>"Aplicar na área afetada até de 8/8 horas por no máximo 10 dias."</f>
        <v>Aplicar na área afetada até de 8/8 horas por no máximo 10 dias.</v>
      </c>
      <c r="C246" s="133" t="s">
        <v>296</v>
      </c>
      <c r="D246" s="25"/>
    </row>
    <row r="247" spans="1:4" x14ac:dyDescent="0.2">
      <c r="A247" s="57" t="s">
        <v>298</v>
      </c>
      <c r="B247" s="28" t="str">
        <f>"Aplicar uma pequena quantidade do creme no local afetado, de 8/8 horas."</f>
        <v>Aplicar uma pequena quantidade do creme no local afetado, de 8/8 horas.</v>
      </c>
      <c r="C247" s="133" t="s">
        <v>299</v>
      </c>
      <c r="D247" s="25"/>
    </row>
    <row r="248" spans="1:4" ht="27.75" x14ac:dyDescent="0.2">
      <c r="A248" s="57" t="s">
        <v>300</v>
      </c>
      <c r="B248" s="28" t="str">
        <f>"Aplicar uma fina camada de modo a cobrir toda a área afetada uma vez ao dia."</f>
        <v>Aplicar uma fina camada de modo a cobrir toda a área afetada uma vez ao dia.</v>
      </c>
      <c r="C248" s="133" t="s">
        <v>299</v>
      </c>
      <c r="D248" s="25"/>
    </row>
    <row r="249" spans="1:4" ht="41.25" x14ac:dyDescent="0.2">
      <c r="A249" s="57" t="s">
        <v>301</v>
      </c>
      <c r="B249" s="43" t="str">
        <f>"Dissolver o conteúdo de 1 a 2 envelope(s) do pó para preparação extemporânea ou 10 a 20 mL da solução ginecológica em 1 L de água e usar em lavagens vaginais de 12/12 horas."</f>
        <v>Dissolver o conteúdo de 1 a 2 envelope(s) do pó para preparação extemporânea ou 10 a 20 mL da solução ginecológica em 1 L de água e usar em lavagens vaginais de 12/12 horas.</v>
      </c>
      <c r="C249" s="133" t="s">
        <v>302</v>
      </c>
      <c r="D249" s="25"/>
    </row>
    <row r="250" spans="1:4" ht="41.25" x14ac:dyDescent="0.2">
      <c r="A250" s="57" t="s">
        <v>303</v>
      </c>
      <c r="B250" s="28" t="str">
        <f>"Aplicar 1 ou 2 nebulizações 15 minutos antes das principais refeições. As nebulizações devem ser aplicadas na cavidade bucal, direcionando o aplicador para a orofaringe (fundo da garganta)."</f>
        <v>Aplicar 1 ou 2 nebulizações 15 minutos antes das principais refeições. As nebulizações devem ser aplicadas na cavidade bucal, direcionando o aplicador para a orofaringe (fundo da garganta).</v>
      </c>
      <c r="C250" s="133" t="s">
        <v>304</v>
      </c>
      <c r="D250" s="25"/>
    </row>
    <row r="251" spans="1:4" x14ac:dyDescent="0.2">
      <c r="A251" s="54" t="s">
        <v>305</v>
      </c>
      <c r="B251" s="28" t="str">
        <f>"Aplicar 1 jato na garganta 20 minutos antes das principais refeições."</f>
        <v>Aplicar 1 jato na garganta 20 minutos antes das principais refeições.</v>
      </c>
      <c r="C251" s="133"/>
      <c r="D251" s="25"/>
    </row>
    <row r="252" spans="1:4" ht="27.75" x14ac:dyDescent="0.2">
      <c r="A252" s="57" t="s">
        <v>306</v>
      </c>
      <c r="B252" s="153" t="str">
        <f>"Diluir o comprimido no momento do uso, em 1 a 4 litros de água, e usar na forma de compressas ou no banho."</f>
        <v>Diluir o comprimido no momento do uso, em 1 a 4 litros de água, e usar na forma de compressas ou no banho.</v>
      </c>
      <c r="C252" s="133" t="s">
        <v>307</v>
      </c>
      <c r="D252" s="25"/>
    </row>
    <row r="253" spans="1:4" ht="41.25" x14ac:dyDescent="0.2">
      <c r="A253" s="57" t="s">
        <v>308</v>
      </c>
      <c r="B253" s="28" t="str">
        <f>"Aplicar uma camada sobre a lesão de 12/12 horas utilizando técnica asséptica. Ocluir o local com gaze estéril. Continuar até a cicatrização completa da ferida."</f>
        <v>Aplicar uma camada sobre a lesão de 12/12 horas utilizando técnica asséptica. Ocluir o local com gaze estéril. Continuar até a cicatrização completa da ferida.</v>
      </c>
      <c r="C253" s="133" t="s">
        <v>309</v>
      </c>
      <c r="D253" s="25"/>
    </row>
    <row r="254" spans="1:4" x14ac:dyDescent="0.2">
      <c r="A254" s="61"/>
      <c r="B254" s="50"/>
      <c r="C254" s="59"/>
    </row>
    <row r="255" spans="1:4" x14ac:dyDescent="0.2">
      <c r="B255" s="135"/>
    </row>
    <row r="256" spans="1:4" x14ac:dyDescent="0.2">
      <c r="B256" s="135"/>
    </row>
    <row r="257" spans="2:3" x14ac:dyDescent="0.2">
      <c r="B257" s="135"/>
    </row>
    <row r="258" spans="2:3" x14ac:dyDescent="0.2">
      <c r="B258" s="135"/>
    </row>
    <row r="259" spans="2:3" x14ac:dyDescent="0.2">
      <c r="B259" s="135"/>
    </row>
    <row r="260" spans="2:3" x14ac:dyDescent="0.2">
      <c r="B260" s="135"/>
    </row>
    <row r="261" spans="2:3" x14ac:dyDescent="0.2">
      <c r="B261" s="135"/>
    </row>
    <row r="262" spans="2:3" x14ac:dyDescent="0.2">
      <c r="B262" s="135"/>
    </row>
    <row r="263" spans="2:3" x14ac:dyDescent="0.2">
      <c r="B263" s="135"/>
    </row>
    <row r="264" spans="2:3" x14ac:dyDescent="0.2">
      <c r="B264" s="135"/>
    </row>
    <row r="265" spans="2:3" x14ac:dyDescent="0.2">
      <c r="B265" s="135"/>
    </row>
    <row r="266" spans="2:3" x14ac:dyDescent="0.2">
      <c r="B266" s="135"/>
    </row>
    <row r="267" spans="2:3" x14ac:dyDescent="0.2">
      <c r="B267" s="135"/>
      <c r="C267" s="25" t="s">
        <v>310</v>
      </c>
    </row>
    <row r="268" spans="2:3" x14ac:dyDescent="0.2">
      <c r="B268" s="135"/>
    </row>
    <row r="269" spans="2:3" x14ac:dyDescent="0.2">
      <c r="B269" s="135"/>
    </row>
    <row r="270" spans="2:3" x14ac:dyDescent="0.2">
      <c r="B270" s="135"/>
    </row>
    <row r="271" spans="2:3" x14ac:dyDescent="0.2">
      <c r="B271" s="135"/>
    </row>
    <row r="272" spans="2:3" x14ac:dyDescent="0.2">
      <c r="B272" s="135"/>
    </row>
    <row r="273" spans="2:2" x14ac:dyDescent="0.2">
      <c r="B273" s="135"/>
    </row>
    <row r="274" spans="2:2" x14ac:dyDescent="0.2">
      <c r="B274" s="135"/>
    </row>
    <row r="275" spans="2:2" x14ac:dyDescent="0.2">
      <c r="B275" s="135"/>
    </row>
    <row r="276" spans="2:2" x14ac:dyDescent="0.2">
      <c r="B276" s="136"/>
    </row>
    <row r="277" spans="2:2" x14ac:dyDescent="0.2">
      <c r="B277" s="136"/>
    </row>
    <row r="278" spans="2:2" x14ac:dyDescent="0.2">
      <c r="B278" s="136"/>
    </row>
    <row r="279" spans="2:2" x14ac:dyDescent="0.2">
      <c r="B279" s="136"/>
    </row>
    <row r="280" spans="2:2" x14ac:dyDescent="0.2">
      <c r="B280" s="136"/>
    </row>
    <row r="281" spans="2:2" x14ac:dyDescent="0.2">
      <c r="B281" s="136"/>
    </row>
    <row r="282" spans="2:2" x14ac:dyDescent="0.2">
      <c r="B282" s="136"/>
    </row>
    <row r="283" spans="2:2" x14ac:dyDescent="0.2">
      <c r="B283" s="136"/>
    </row>
    <row r="284" spans="2:2" x14ac:dyDescent="0.2">
      <c r="B284" s="136"/>
    </row>
    <row r="285" spans="2:2" x14ac:dyDescent="0.2">
      <c r="B285" s="136"/>
    </row>
    <row r="286" spans="2:2" x14ac:dyDescent="0.2">
      <c r="B286" s="136"/>
    </row>
    <row r="287" spans="2:2" x14ac:dyDescent="0.2">
      <c r="B287" s="136"/>
    </row>
    <row r="288" spans="2:2" x14ac:dyDescent="0.2">
      <c r="B288" s="136"/>
    </row>
    <row r="289" spans="2:2" x14ac:dyDescent="0.2">
      <c r="B289" s="136"/>
    </row>
    <row r="290" spans="2:2" x14ac:dyDescent="0.2">
      <c r="B290" s="136"/>
    </row>
    <row r="291" spans="2:2" x14ac:dyDescent="0.2">
      <c r="B291" s="136"/>
    </row>
    <row r="292" spans="2:2" x14ac:dyDescent="0.2">
      <c r="B292" s="136"/>
    </row>
    <row r="293" spans="2:2" x14ac:dyDescent="0.2">
      <c r="B293" s="136"/>
    </row>
    <row r="294" spans="2:2" x14ac:dyDescent="0.2">
      <c r="B294" s="136"/>
    </row>
    <row r="295" spans="2:2" x14ac:dyDescent="0.2">
      <c r="B295" s="136"/>
    </row>
    <row r="296" spans="2:2" x14ac:dyDescent="0.2">
      <c r="B296" s="136"/>
    </row>
    <row r="297" spans="2:2" x14ac:dyDescent="0.2">
      <c r="B297" s="136"/>
    </row>
    <row r="298" spans="2:2" x14ac:dyDescent="0.2">
      <c r="B298" s="136"/>
    </row>
    <row r="299" spans="2:2" x14ac:dyDescent="0.2">
      <c r="B299" s="136"/>
    </row>
    <row r="300" spans="2:2" x14ac:dyDescent="0.2">
      <c r="B300" s="136"/>
    </row>
    <row r="301" spans="2:2" x14ac:dyDescent="0.2">
      <c r="B301" s="136"/>
    </row>
    <row r="302" spans="2:2" x14ac:dyDescent="0.2">
      <c r="B302" s="136"/>
    </row>
    <row r="303" spans="2:2" x14ac:dyDescent="0.2">
      <c r="B303" s="136"/>
    </row>
    <row r="304" spans="2:2" x14ac:dyDescent="0.2">
      <c r="B304" s="136"/>
    </row>
    <row r="305" spans="2:2" x14ac:dyDescent="0.2">
      <c r="B305" s="136"/>
    </row>
    <row r="306" spans="2:2" x14ac:dyDescent="0.2">
      <c r="B306" s="136"/>
    </row>
    <row r="307" spans="2:2" x14ac:dyDescent="0.2">
      <c r="B307" s="136"/>
    </row>
    <row r="308" spans="2:2" x14ac:dyDescent="0.2">
      <c r="B308" s="136"/>
    </row>
    <row r="309" spans="2:2" x14ac:dyDescent="0.2">
      <c r="B309" s="136"/>
    </row>
    <row r="310" spans="2:2" x14ac:dyDescent="0.2">
      <c r="B310" s="136"/>
    </row>
    <row r="311" spans="2:2" x14ac:dyDescent="0.2">
      <c r="B311" s="136"/>
    </row>
    <row r="312" spans="2:2" x14ac:dyDescent="0.2">
      <c r="B312" s="136"/>
    </row>
    <row r="313" spans="2:2" x14ac:dyDescent="0.2">
      <c r="B313" s="136"/>
    </row>
    <row r="314" spans="2:2" x14ac:dyDescent="0.2">
      <c r="B314" s="136"/>
    </row>
    <row r="315" spans="2:2" x14ac:dyDescent="0.2">
      <c r="B315" s="136"/>
    </row>
    <row r="316" spans="2:2" x14ac:dyDescent="0.2">
      <c r="B316" s="136"/>
    </row>
    <row r="317" spans="2:2" x14ac:dyDescent="0.2">
      <c r="B317" s="136"/>
    </row>
    <row r="318" spans="2:2" x14ac:dyDescent="0.2">
      <c r="B318" s="136"/>
    </row>
    <row r="319" spans="2:2" x14ac:dyDescent="0.2">
      <c r="B319" s="136"/>
    </row>
    <row r="320" spans="2:2" x14ac:dyDescent="0.2">
      <c r="B320" s="136"/>
    </row>
    <row r="321" spans="2:2" x14ac:dyDescent="0.2">
      <c r="B321" s="136"/>
    </row>
    <row r="322" spans="2:2" x14ac:dyDescent="0.2">
      <c r="B322" s="136"/>
    </row>
    <row r="323" spans="2:2" x14ac:dyDescent="0.2">
      <c r="B323" s="136"/>
    </row>
    <row r="324" spans="2:2" x14ac:dyDescent="0.2">
      <c r="B324" s="136"/>
    </row>
    <row r="325" spans="2:2" x14ac:dyDescent="0.2">
      <c r="B325" s="136"/>
    </row>
    <row r="326" spans="2:2" x14ac:dyDescent="0.2">
      <c r="B326" s="136"/>
    </row>
    <row r="327" spans="2:2" x14ac:dyDescent="0.2">
      <c r="B327" s="136"/>
    </row>
    <row r="328" spans="2:2" x14ac:dyDescent="0.2">
      <c r="B328" s="136"/>
    </row>
    <row r="329" spans="2:2" x14ac:dyDescent="0.2">
      <c r="B329" s="136"/>
    </row>
    <row r="330" spans="2:2" x14ac:dyDescent="0.2">
      <c r="B330" s="136"/>
    </row>
    <row r="331" spans="2:2" x14ac:dyDescent="0.2">
      <c r="B331" s="136"/>
    </row>
    <row r="332" spans="2:2" x14ac:dyDescent="0.2">
      <c r="B332" s="136"/>
    </row>
    <row r="333" spans="2:2" x14ac:dyDescent="0.2">
      <c r="B333" s="136"/>
    </row>
    <row r="334" spans="2:2" x14ac:dyDescent="0.2">
      <c r="B334" s="136"/>
    </row>
    <row r="335" spans="2:2" x14ac:dyDescent="0.2">
      <c r="B335" s="136"/>
    </row>
    <row r="336" spans="2:2" x14ac:dyDescent="0.2">
      <c r="B336" s="136"/>
    </row>
    <row r="337" spans="2:2" x14ac:dyDescent="0.2">
      <c r="B337" s="136"/>
    </row>
    <row r="338" spans="2:2" x14ac:dyDescent="0.2">
      <c r="B338" s="136"/>
    </row>
    <row r="339" spans="2:2" x14ac:dyDescent="0.2">
      <c r="B339" s="136"/>
    </row>
    <row r="340" spans="2:2" x14ac:dyDescent="0.2">
      <c r="B340" s="136"/>
    </row>
    <row r="341" spans="2:2" x14ac:dyDescent="0.2">
      <c r="B341" s="136"/>
    </row>
    <row r="342" spans="2:2" x14ac:dyDescent="0.2">
      <c r="B342" s="136"/>
    </row>
    <row r="343" spans="2:2" x14ac:dyDescent="0.2">
      <c r="B343" s="136"/>
    </row>
    <row r="344" spans="2:2" x14ac:dyDescent="0.2">
      <c r="B344" s="136"/>
    </row>
    <row r="345" spans="2:2" x14ac:dyDescent="0.2">
      <c r="B345" s="136"/>
    </row>
    <row r="346" spans="2:2" x14ac:dyDescent="0.2">
      <c r="B346" s="136"/>
    </row>
    <row r="347" spans="2:2" x14ac:dyDescent="0.2">
      <c r="B347" s="136"/>
    </row>
    <row r="348" spans="2:2" x14ac:dyDescent="0.2">
      <c r="B348" s="136"/>
    </row>
    <row r="349" spans="2:2" x14ac:dyDescent="0.2">
      <c r="B349" s="136"/>
    </row>
    <row r="350" spans="2:2" x14ac:dyDescent="0.2">
      <c r="B350" s="136"/>
    </row>
    <row r="351" spans="2:2" x14ac:dyDescent="0.2">
      <c r="B351" s="136"/>
    </row>
    <row r="352" spans="2:2" x14ac:dyDescent="0.2">
      <c r="B352" s="136"/>
    </row>
    <row r="353" spans="2:2" x14ac:dyDescent="0.2">
      <c r="B353" s="136"/>
    </row>
    <row r="354" spans="2:2" x14ac:dyDescent="0.2">
      <c r="B354" s="136"/>
    </row>
    <row r="355" spans="2:2" x14ac:dyDescent="0.2">
      <c r="B355" s="136"/>
    </row>
    <row r="356" spans="2:2" x14ac:dyDescent="0.2">
      <c r="B356" s="136"/>
    </row>
    <row r="357" spans="2:2" x14ac:dyDescent="0.2">
      <c r="B357" s="136"/>
    </row>
    <row r="358" spans="2:2" x14ac:dyDescent="0.2">
      <c r="B358" s="136"/>
    </row>
    <row r="359" spans="2:2" x14ac:dyDescent="0.2">
      <c r="B359" s="136"/>
    </row>
    <row r="360" spans="2:2" x14ac:dyDescent="0.2">
      <c r="B360" s="136"/>
    </row>
    <row r="361" spans="2:2" x14ac:dyDescent="0.2">
      <c r="B361" s="136"/>
    </row>
    <row r="362" spans="2:2" x14ac:dyDescent="0.2">
      <c r="B362" s="136"/>
    </row>
    <row r="363" spans="2:2" x14ac:dyDescent="0.2">
      <c r="B363" s="136"/>
    </row>
    <row r="364" spans="2:2" x14ac:dyDescent="0.2">
      <c r="B364" s="136"/>
    </row>
    <row r="365" spans="2:2" x14ac:dyDescent="0.2">
      <c r="B365" s="136"/>
    </row>
    <row r="366" spans="2:2" x14ac:dyDescent="0.2">
      <c r="B366" s="136"/>
    </row>
    <row r="367" spans="2:2" x14ac:dyDescent="0.2">
      <c r="B367" s="136"/>
    </row>
    <row r="368" spans="2:2" x14ac:dyDescent="0.2">
      <c r="B368" s="136"/>
    </row>
    <row r="369" spans="2:2" x14ac:dyDescent="0.2">
      <c r="B369" s="136"/>
    </row>
    <row r="370" spans="2:2" x14ac:dyDescent="0.2">
      <c r="B370" s="136"/>
    </row>
    <row r="371" spans="2:2" x14ac:dyDescent="0.2">
      <c r="B371" s="136"/>
    </row>
    <row r="372" spans="2:2" x14ac:dyDescent="0.2">
      <c r="B372" s="136"/>
    </row>
    <row r="373" spans="2:2" x14ac:dyDescent="0.2">
      <c r="B373" s="136"/>
    </row>
    <row r="374" spans="2:2" x14ac:dyDescent="0.2">
      <c r="B374" s="136"/>
    </row>
    <row r="375" spans="2:2" x14ac:dyDescent="0.2">
      <c r="B375" s="136"/>
    </row>
    <row r="376" spans="2:2" x14ac:dyDescent="0.2">
      <c r="B376" s="136"/>
    </row>
    <row r="377" spans="2:2" x14ac:dyDescent="0.2">
      <c r="B377" s="136"/>
    </row>
    <row r="378" spans="2:2" x14ac:dyDescent="0.2">
      <c r="B378" s="136"/>
    </row>
    <row r="379" spans="2:2" x14ac:dyDescent="0.2">
      <c r="B379" s="136"/>
    </row>
    <row r="380" spans="2:2" x14ac:dyDescent="0.2">
      <c r="B380" s="136"/>
    </row>
    <row r="381" spans="2:2" x14ac:dyDescent="0.2">
      <c r="B381" s="136"/>
    </row>
    <row r="382" spans="2:2" x14ac:dyDescent="0.2">
      <c r="B382" s="136"/>
    </row>
    <row r="383" spans="2:2" x14ac:dyDescent="0.2">
      <c r="B383" s="136"/>
    </row>
    <row r="384" spans="2:2" x14ac:dyDescent="0.2">
      <c r="B384" s="136"/>
    </row>
    <row r="385" spans="2:2" x14ac:dyDescent="0.2">
      <c r="B385" s="136"/>
    </row>
    <row r="386" spans="2:2" x14ac:dyDescent="0.2">
      <c r="B386" s="136"/>
    </row>
    <row r="387" spans="2:2" x14ac:dyDescent="0.2">
      <c r="B387" s="136"/>
    </row>
    <row r="388" spans="2:2" x14ac:dyDescent="0.2">
      <c r="B388" s="136"/>
    </row>
    <row r="389" spans="2:2" x14ac:dyDescent="0.2">
      <c r="B389" s="136"/>
    </row>
    <row r="390" spans="2:2" x14ac:dyDescent="0.2">
      <c r="B390" s="136"/>
    </row>
    <row r="391" spans="2:2" x14ac:dyDescent="0.2">
      <c r="B391" s="136"/>
    </row>
    <row r="392" spans="2:2" x14ac:dyDescent="0.2">
      <c r="B392" s="136"/>
    </row>
    <row r="393" spans="2:2" x14ac:dyDescent="0.2">
      <c r="B393" s="136"/>
    </row>
    <row r="394" spans="2:2" x14ac:dyDescent="0.2">
      <c r="B394" s="136"/>
    </row>
    <row r="395" spans="2:2" x14ac:dyDescent="0.2">
      <c r="B395" s="136"/>
    </row>
    <row r="396" spans="2:2" x14ac:dyDescent="0.2">
      <c r="B396" s="136"/>
    </row>
    <row r="397" spans="2:2" x14ac:dyDescent="0.2">
      <c r="B397" s="136"/>
    </row>
    <row r="398" spans="2:2" x14ac:dyDescent="0.2">
      <c r="B398" s="136"/>
    </row>
    <row r="399" spans="2:2" x14ac:dyDescent="0.2">
      <c r="B399" s="136"/>
    </row>
    <row r="400" spans="2:2" x14ac:dyDescent="0.2">
      <c r="B400" s="136"/>
    </row>
    <row r="401" spans="2:2" x14ac:dyDescent="0.2">
      <c r="B401" s="136"/>
    </row>
    <row r="402" spans="2:2" x14ac:dyDescent="0.2">
      <c r="B402" s="136"/>
    </row>
    <row r="403" spans="2:2" x14ac:dyDescent="0.2">
      <c r="B403" s="136"/>
    </row>
    <row r="404" spans="2:2" x14ac:dyDescent="0.2">
      <c r="B404" s="136"/>
    </row>
    <row r="405" spans="2:2" x14ac:dyDescent="0.2">
      <c r="B405" s="136"/>
    </row>
    <row r="406" spans="2:2" x14ac:dyDescent="0.2">
      <c r="B406" s="136"/>
    </row>
    <row r="407" spans="2:2" x14ac:dyDescent="0.2">
      <c r="B407" s="136"/>
    </row>
    <row r="408" spans="2:2" x14ac:dyDescent="0.2">
      <c r="B408" s="136"/>
    </row>
    <row r="409" spans="2:2" x14ac:dyDescent="0.2">
      <c r="B409" s="136"/>
    </row>
    <row r="410" spans="2:2" x14ac:dyDescent="0.2">
      <c r="B410" s="136"/>
    </row>
    <row r="411" spans="2:2" x14ac:dyDescent="0.2">
      <c r="B411" s="136"/>
    </row>
    <row r="412" spans="2:2" x14ac:dyDescent="0.2">
      <c r="B412" s="136"/>
    </row>
    <row r="413" spans="2:2" x14ac:dyDescent="0.2">
      <c r="B413" s="136"/>
    </row>
    <row r="414" spans="2:2" x14ac:dyDescent="0.2">
      <c r="B414" s="136"/>
    </row>
    <row r="415" spans="2:2" x14ac:dyDescent="0.2">
      <c r="B415" s="136"/>
    </row>
    <row r="416" spans="2:2" x14ac:dyDescent="0.2">
      <c r="B416" s="136"/>
    </row>
    <row r="417" spans="2:2" x14ac:dyDescent="0.2">
      <c r="B417" s="136"/>
    </row>
    <row r="418" spans="2:2" x14ac:dyDescent="0.2">
      <c r="B418" s="136"/>
    </row>
    <row r="419" spans="2:2" x14ac:dyDescent="0.2">
      <c r="B419" s="136"/>
    </row>
    <row r="420" spans="2:2" x14ac:dyDescent="0.2">
      <c r="B420" s="136"/>
    </row>
    <row r="421" spans="2:2" x14ac:dyDescent="0.2">
      <c r="B421" s="136"/>
    </row>
    <row r="422" spans="2:2" x14ac:dyDescent="0.2">
      <c r="B422" s="136"/>
    </row>
    <row r="423" spans="2:2" x14ac:dyDescent="0.2">
      <c r="B423" s="136"/>
    </row>
    <row r="424" spans="2:2" x14ac:dyDescent="0.2">
      <c r="B424" s="136"/>
    </row>
    <row r="425" spans="2:2" x14ac:dyDescent="0.2">
      <c r="B425" s="136"/>
    </row>
    <row r="426" spans="2:2" x14ac:dyDescent="0.2">
      <c r="B426" s="136"/>
    </row>
    <row r="427" spans="2:2" x14ac:dyDescent="0.2">
      <c r="B427" s="136"/>
    </row>
    <row r="428" spans="2:2" x14ac:dyDescent="0.2">
      <c r="B428" s="136"/>
    </row>
    <row r="429" spans="2:2" x14ac:dyDescent="0.2">
      <c r="B429" s="136"/>
    </row>
    <row r="430" spans="2:2" x14ac:dyDescent="0.2">
      <c r="B430" s="136"/>
    </row>
    <row r="431" spans="2:2" x14ac:dyDescent="0.2">
      <c r="B431" s="136"/>
    </row>
    <row r="432" spans="2:2" x14ac:dyDescent="0.2">
      <c r="B432" s="136"/>
    </row>
    <row r="433" spans="2:2" x14ac:dyDescent="0.2">
      <c r="B433" s="136"/>
    </row>
    <row r="434" spans="2:2" x14ac:dyDescent="0.2">
      <c r="B434" s="136"/>
    </row>
    <row r="435" spans="2:2" x14ac:dyDescent="0.2">
      <c r="B435" s="136"/>
    </row>
    <row r="436" spans="2:2" x14ac:dyDescent="0.2">
      <c r="B436" s="136"/>
    </row>
    <row r="437" spans="2:2" x14ac:dyDescent="0.2">
      <c r="B437" s="136"/>
    </row>
    <row r="438" spans="2:2" x14ac:dyDescent="0.2">
      <c r="B438" s="136"/>
    </row>
    <row r="439" spans="2:2" x14ac:dyDescent="0.2">
      <c r="B439" s="136"/>
    </row>
    <row r="440" spans="2:2" x14ac:dyDescent="0.2">
      <c r="B440" s="136"/>
    </row>
    <row r="441" spans="2:2" x14ac:dyDescent="0.2">
      <c r="B441" s="136"/>
    </row>
    <row r="442" spans="2:2" x14ac:dyDescent="0.2">
      <c r="B442" s="136"/>
    </row>
    <row r="443" spans="2:2" x14ac:dyDescent="0.2">
      <c r="B443" s="136"/>
    </row>
    <row r="444" spans="2:2" x14ac:dyDescent="0.2">
      <c r="B444" s="136"/>
    </row>
    <row r="445" spans="2:2" x14ac:dyDescent="0.2">
      <c r="B445" s="136"/>
    </row>
    <row r="446" spans="2:2" x14ac:dyDescent="0.2">
      <c r="B446" s="136"/>
    </row>
    <row r="447" spans="2:2" x14ac:dyDescent="0.2">
      <c r="B447" s="136"/>
    </row>
    <row r="448" spans="2:2" x14ac:dyDescent="0.2">
      <c r="B448" s="136"/>
    </row>
    <row r="449" spans="2:2" x14ac:dyDescent="0.2">
      <c r="B449" s="136"/>
    </row>
    <row r="450" spans="2:2" x14ac:dyDescent="0.2">
      <c r="B450" s="136"/>
    </row>
    <row r="451" spans="2:2" x14ac:dyDescent="0.2">
      <c r="B451" s="136"/>
    </row>
    <row r="452" spans="2:2" x14ac:dyDescent="0.2">
      <c r="B452" s="136"/>
    </row>
    <row r="453" spans="2:2" x14ac:dyDescent="0.2">
      <c r="B453" s="136"/>
    </row>
    <row r="454" spans="2:2" x14ac:dyDescent="0.2">
      <c r="B454" s="136"/>
    </row>
    <row r="455" spans="2:2" x14ac:dyDescent="0.2">
      <c r="B455" s="136"/>
    </row>
    <row r="456" spans="2:2" x14ac:dyDescent="0.2">
      <c r="B456" s="136"/>
    </row>
    <row r="457" spans="2:2" x14ac:dyDescent="0.2">
      <c r="B457" s="136"/>
    </row>
    <row r="458" spans="2:2" x14ac:dyDescent="0.2">
      <c r="B458" s="136"/>
    </row>
    <row r="459" spans="2:2" x14ac:dyDescent="0.2">
      <c r="B459" s="136"/>
    </row>
    <row r="460" spans="2:2" x14ac:dyDescent="0.2">
      <c r="B460" s="136"/>
    </row>
    <row r="461" spans="2:2" x14ac:dyDescent="0.2">
      <c r="B461" s="136"/>
    </row>
    <row r="462" spans="2:2" x14ac:dyDescent="0.2">
      <c r="B462" s="136"/>
    </row>
    <row r="463" spans="2:2" x14ac:dyDescent="0.2">
      <c r="B463" s="136"/>
    </row>
    <row r="464" spans="2:2" x14ac:dyDescent="0.2">
      <c r="B464" s="136"/>
    </row>
    <row r="465" spans="2:2" x14ac:dyDescent="0.2">
      <c r="B465" s="136"/>
    </row>
    <row r="466" spans="2:2" x14ac:dyDescent="0.2">
      <c r="B466" s="136"/>
    </row>
    <row r="467" spans="2:2" x14ac:dyDescent="0.2">
      <c r="B467" s="136"/>
    </row>
    <row r="468" spans="2:2" x14ac:dyDescent="0.2">
      <c r="B468" s="136"/>
    </row>
    <row r="469" spans="2:2" x14ac:dyDescent="0.2">
      <c r="B469" s="136"/>
    </row>
    <row r="470" spans="2:2" x14ac:dyDescent="0.2">
      <c r="B470" s="136"/>
    </row>
    <row r="471" spans="2:2" x14ac:dyDescent="0.2">
      <c r="B471" s="136"/>
    </row>
    <row r="472" spans="2:2" x14ac:dyDescent="0.2">
      <c r="B472" s="136"/>
    </row>
    <row r="473" spans="2:2" x14ac:dyDescent="0.2">
      <c r="B473" s="136"/>
    </row>
    <row r="474" spans="2:2" x14ac:dyDescent="0.2">
      <c r="B474" s="136"/>
    </row>
    <row r="475" spans="2:2" x14ac:dyDescent="0.2">
      <c r="B475" s="136"/>
    </row>
    <row r="476" spans="2:2" x14ac:dyDescent="0.2">
      <c r="B476" s="136"/>
    </row>
    <row r="477" spans="2:2" x14ac:dyDescent="0.2">
      <c r="B477" s="136"/>
    </row>
    <row r="478" spans="2:2" x14ac:dyDescent="0.2">
      <c r="B478" s="136"/>
    </row>
    <row r="479" spans="2:2" x14ac:dyDescent="0.2">
      <c r="B479" s="136"/>
    </row>
    <row r="480" spans="2:2" x14ac:dyDescent="0.2">
      <c r="B480" s="136"/>
    </row>
    <row r="481" spans="2:2" x14ac:dyDescent="0.2">
      <c r="B481" s="136"/>
    </row>
    <row r="482" spans="2:2" x14ac:dyDescent="0.2">
      <c r="B482" s="136"/>
    </row>
    <row r="483" spans="2:2" x14ac:dyDescent="0.2">
      <c r="B483" s="136"/>
    </row>
    <row r="484" spans="2:2" x14ac:dyDescent="0.2">
      <c r="B484" s="136"/>
    </row>
    <row r="485" spans="2:2" x14ac:dyDescent="0.2">
      <c r="B485" s="136"/>
    </row>
    <row r="486" spans="2:2" x14ac:dyDescent="0.2">
      <c r="B486" s="136"/>
    </row>
    <row r="487" spans="2:2" x14ac:dyDescent="0.2">
      <c r="B487" s="136"/>
    </row>
    <row r="488" spans="2:2" x14ac:dyDescent="0.2">
      <c r="B488" s="136"/>
    </row>
    <row r="489" spans="2:2" x14ac:dyDescent="0.2">
      <c r="B489" s="136"/>
    </row>
    <row r="490" spans="2:2" x14ac:dyDescent="0.2">
      <c r="B490" s="136"/>
    </row>
    <row r="491" spans="2:2" x14ac:dyDescent="0.2">
      <c r="B491" s="136"/>
    </row>
    <row r="492" spans="2:2" x14ac:dyDescent="0.2">
      <c r="B492" s="136"/>
    </row>
    <row r="493" spans="2:2" x14ac:dyDescent="0.2">
      <c r="B493" s="136"/>
    </row>
    <row r="494" spans="2:2" x14ac:dyDescent="0.2">
      <c r="B494" s="136"/>
    </row>
    <row r="495" spans="2:2" x14ac:dyDescent="0.2">
      <c r="B495" s="136"/>
    </row>
    <row r="496" spans="2:2" x14ac:dyDescent="0.2">
      <c r="B496" s="136"/>
    </row>
    <row r="497" spans="2:2" x14ac:dyDescent="0.2">
      <c r="B497" s="136"/>
    </row>
    <row r="498" spans="2:2" x14ac:dyDescent="0.2">
      <c r="B498" s="136"/>
    </row>
    <row r="499" spans="2:2" x14ac:dyDescent="0.2">
      <c r="B499" s="136"/>
    </row>
    <row r="500" spans="2:2" x14ac:dyDescent="0.2">
      <c r="B500" s="136"/>
    </row>
    <row r="501" spans="2:2" x14ac:dyDescent="0.2">
      <c r="B501" s="136"/>
    </row>
    <row r="502" spans="2:2" x14ac:dyDescent="0.2">
      <c r="B502" s="136"/>
    </row>
    <row r="503" spans="2:2" x14ac:dyDescent="0.2">
      <c r="B503" s="136"/>
    </row>
    <row r="504" spans="2:2" x14ac:dyDescent="0.2">
      <c r="B504" s="136"/>
    </row>
    <row r="505" spans="2:2" x14ac:dyDescent="0.2">
      <c r="B505" s="136"/>
    </row>
    <row r="506" spans="2:2" x14ac:dyDescent="0.2">
      <c r="B506" s="136"/>
    </row>
    <row r="507" spans="2:2" x14ac:dyDescent="0.2">
      <c r="B507" s="136"/>
    </row>
    <row r="508" spans="2:2" x14ac:dyDescent="0.2">
      <c r="B508" s="136"/>
    </row>
    <row r="509" spans="2:2" x14ac:dyDescent="0.2">
      <c r="B509" s="136"/>
    </row>
    <row r="510" spans="2:2" x14ac:dyDescent="0.2">
      <c r="B510" s="136"/>
    </row>
    <row r="511" spans="2:2" x14ac:dyDescent="0.2">
      <c r="B511" s="136"/>
    </row>
    <row r="512" spans="2:2" x14ac:dyDescent="0.2">
      <c r="B512" s="136"/>
    </row>
    <row r="513" spans="2:2" x14ac:dyDescent="0.2">
      <c r="B513" s="136"/>
    </row>
    <row r="514" spans="2:2" x14ac:dyDescent="0.2">
      <c r="B514" s="136"/>
    </row>
    <row r="515" spans="2:2" x14ac:dyDescent="0.2">
      <c r="B515" s="136"/>
    </row>
    <row r="516" spans="2:2" x14ac:dyDescent="0.2">
      <c r="B516" s="136"/>
    </row>
    <row r="517" spans="2:2" x14ac:dyDescent="0.2">
      <c r="B517" s="136"/>
    </row>
    <row r="518" spans="2:2" x14ac:dyDescent="0.2">
      <c r="B518" s="136"/>
    </row>
    <row r="519" spans="2:2" x14ac:dyDescent="0.2">
      <c r="B519" s="136"/>
    </row>
    <row r="520" spans="2:2" x14ac:dyDescent="0.2">
      <c r="B520" s="136"/>
    </row>
    <row r="521" spans="2:2" x14ac:dyDescent="0.2">
      <c r="B521" s="136"/>
    </row>
    <row r="522" spans="2:2" x14ac:dyDescent="0.2">
      <c r="B522" s="136"/>
    </row>
    <row r="523" spans="2:2" x14ac:dyDescent="0.2">
      <c r="B523" s="136"/>
    </row>
    <row r="524" spans="2:2" x14ac:dyDescent="0.2">
      <c r="B524" s="136"/>
    </row>
    <row r="525" spans="2:2" x14ac:dyDescent="0.2">
      <c r="B525" s="136"/>
    </row>
    <row r="526" spans="2:2" x14ac:dyDescent="0.2">
      <c r="B526" s="136"/>
    </row>
    <row r="527" spans="2:2" x14ac:dyDescent="0.2">
      <c r="B527" s="136"/>
    </row>
    <row r="528" spans="2:2" x14ac:dyDescent="0.2">
      <c r="B528" s="136"/>
    </row>
    <row r="529" spans="2:2" x14ac:dyDescent="0.2">
      <c r="B529" s="136"/>
    </row>
    <row r="530" spans="2:2" x14ac:dyDescent="0.2">
      <c r="B530" s="136"/>
    </row>
    <row r="531" spans="2:2" x14ac:dyDescent="0.2">
      <c r="B531" s="136"/>
    </row>
    <row r="532" spans="2:2" x14ac:dyDescent="0.2">
      <c r="B532" s="136"/>
    </row>
    <row r="533" spans="2:2" x14ac:dyDescent="0.2">
      <c r="B533" s="136"/>
    </row>
    <row r="534" spans="2:2" x14ac:dyDescent="0.2">
      <c r="B534" s="136"/>
    </row>
    <row r="535" spans="2:2" x14ac:dyDescent="0.2">
      <c r="B535" s="136"/>
    </row>
    <row r="536" spans="2:2" x14ac:dyDescent="0.2">
      <c r="B536" s="136"/>
    </row>
    <row r="537" spans="2:2" x14ac:dyDescent="0.2">
      <c r="B537" s="136"/>
    </row>
    <row r="538" spans="2:2" x14ac:dyDescent="0.2">
      <c r="B538" s="136"/>
    </row>
    <row r="539" spans="2:2" x14ac:dyDescent="0.2">
      <c r="B539" s="136"/>
    </row>
    <row r="540" spans="2:2" x14ac:dyDescent="0.2">
      <c r="B540" s="136"/>
    </row>
    <row r="541" spans="2:2" x14ac:dyDescent="0.2">
      <c r="B541" s="136"/>
    </row>
    <row r="542" spans="2:2" x14ac:dyDescent="0.2">
      <c r="B542" s="136"/>
    </row>
    <row r="543" spans="2:2" x14ac:dyDescent="0.2">
      <c r="B543" s="136"/>
    </row>
    <row r="544" spans="2:2" x14ac:dyDescent="0.2">
      <c r="B544" s="136"/>
    </row>
    <row r="545" spans="2:2" x14ac:dyDescent="0.2">
      <c r="B545" s="136"/>
    </row>
    <row r="546" spans="2:2" x14ac:dyDescent="0.2">
      <c r="B546" s="136"/>
    </row>
    <row r="547" spans="2:2" x14ac:dyDescent="0.2">
      <c r="B547" s="136"/>
    </row>
    <row r="548" spans="2:2" x14ac:dyDescent="0.2">
      <c r="B548" s="136"/>
    </row>
    <row r="549" spans="2:2" x14ac:dyDescent="0.2">
      <c r="B549" s="136"/>
    </row>
    <row r="550" spans="2:2" x14ac:dyDescent="0.2">
      <c r="B550" s="136"/>
    </row>
    <row r="551" spans="2:2" x14ac:dyDescent="0.2">
      <c r="B551" s="136"/>
    </row>
    <row r="552" spans="2:2" x14ac:dyDescent="0.2">
      <c r="B552" s="136"/>
    </row>
    <row r="553" spans="2:2" x14ac:dyDescent="0.2">
      <c r="B553" s="136"/>
    </row>
    <row r="554" spans="2:2" x14ac:dyDescent="0.2">
      <c r="B554" s="136"/>
    </row>
    <row r="555" spans="2:2" x14ac:dyDescent="0.2">
      <c r="B555" s="136"/>
    </row>
    <row r="556" spans="2:2" x14ac:dyDescent="0.2">
      <c r="B556" s="136"/>
    </row>
    <row r="557" spans="2:2" x14ac:dyDescent="0.2">
      <c r="B557" s="136"/>
    </row>
    <row r="558" spans="2:2" x14ac:dyDescent="0.2">
      <c r="B558" s="136"/>
    </row>
    <row r="559" spans="2:2" x14ac:dyDescent="0.2">
      <c r="B559" s="136"/>
    </row>
    <row r="560" spans="2:2" x14ac:dyDescent="0.2">
      <c r="B560" s="136"/>
    </row>
    <row r="561" spans="2:2" x14ac:dyDescent="0.2">
      <c r="B561" s="136"/>
    </row>
    <row r="562" spans="2:2" x14ac:dyDescent="0.2">
      <c r="B562" s="136"/>
    </row>
    <row r="563" spans="2:2" x14ac:dyDescent="0.2">
      <c r="B563" s="136"/>
    </row>
    <row r="564" spans="2:2" x14ac:dyDescent="0.2">
      <c r="B564" s="136"/>
    </row>
    <row r="565" spans="2:2" x14ac:dyDescent="0.2">
      <c r="B565" s="136"/>
    </row>
    <row r="566" spans="2:2" x14ac:dyDescent="0.2">
      <c r="B566" s="136"/>
    </row>
    <row r="567" spans="2:2" x14ac:dyDescent="0.2">
      <c r="B567" s="136"/>
    </row>
    <row r="568" spans="2:2" x14ac:dyDescent="0.2">
      <c r="B568" s="136"/>
    </row>
    <row r="569" spans="2:2" x14ac:dyDescent="0.2">
      <c r="B569" s="136"/>
    </row>
    <row r="570" spans="2:2" x14ac:dyDescent="0.2">
      <c r="B570" s="136"/>
    </row>
    <row r="571" spans="2:2" x14ac:dyDescent="0.2">
      <c r="B571" s="136"/>
    </row>
    <row r="572" spans="2:2" x14ac:dyDescent="0.2">
      <c r="B572" s="136"/>
    </row>
    <row r="573" spans="2:2" x14ac:dyDescent="0.2">
      <c r="B573" s="136"/>
    </row>
    <row r="574" spans="2:2" x14ac:dyDescent="0.2">
      <c r="B574" s="136"/>
    </row>
    <row r="575" spans="2:2" x14ac:dyDescent="0.2">
      <c r="B575" s="136"/>
    </row>
    <row r="576" spans="2:2" x14ac:dyDescent="0.2">
      <c r="B576" s="136"/>
    </row>
    <row r="577" spans="2:2" x14ac:dyDescent="0.2">
      <c r="B577" s="136"/>
    </row>
    <row r="578" spans="2:2" x14ac:dyDescent="0.2">
      <c r="B578" s="136"/>
    </row>
    <row r="579" spans="2:2" x14ac:dyDescent="0.2">
      <c r="B579" s="136"/>
    </row>
    <row r="580" spans="2:2" x14ac:dyDescent="0.2">
      <c r="B580" s="136"/>
    </row>
    <row r="581" spans="2:2" x14ac:dyDescent="0.2">
      <c r="B581" s="136"/>
    </row>
    <row r="582" spans="2:2" x14ac:dyDescent="0.2">
      <c r="B582" s="136"/>
    </row>
    <row r="583" spans="2:2" x14ac:dyDescent="0.2">
      <c r="B583" s="136"/>
    </row>
    <row r="584" spans="2:2" x14ac:dyDescent="0.2">
      <c r="B584" s="136"/>
    </row>
    <row r="585" spans="2:2" x14ac:dyDescent="0.2">
      <c r="B585" s="136"/>
    </row>
    <row r="586" spans="2:2" x14ac:dyDescent="0.2">
      <c r="B586" s="136"/>
    </row>
    <row r="587" spans="2:2" x14ac:dyDescent="0.2">
      <c r="B587" s="136"/>
    </row>
    <row r="588" spans="2:2" x14ac:dyDescent="0.2">
      <c r="B588" s="136"/>
    </row>
    <row r="589" spans="2:2" x14ac:dyDescent="0.2">
      <c r="B589" s="136"/>
    </row>
    <row r="590" spans="2:2" x14ac:dyDescent="0.2">
      <c r="B590" s="136"/>
    </row>
    <row r="591" spans="2:2" x14ac:dyDescent="0.2">
      <c r="B591" s="136"/>
    </row>
    <row r="592" spans="2:2" x14ac:dyDescent="0.2">
      <c r="B592" s="136"/>
    </row>
    <row r="593" spans="2:2" x14ac:dyDescent="0.2">
      <c r="B593" s="136"/>
    </row>
    <row r="594" spans="2:2" x14ac:dyDescent="0.2">
      <c r="B594" s="136"/>
    </row>
    <row r="595" spans="2:2" x14ac:dyDescent="0.2">
      <c r="B595" s="136"/>
    </row>
    <row r="596" spans="2:2" x14ac:dyDescent="0.2">
      <c r="B596" s="136"/>
    </row>
    <row r="597" spans="2:2" x14ac:dyDescent="0.2">
      <c r="B597" s="136"/>
    </row>
    <row r="598" spans="2:2" x14ac:dyDescent="0.2">
      <c r="B598" s="136"/>
    </row>
    <row r="599" spans="2:2" x14ac:dyDescent="0.2">
      <c r="B599" s="136"/>
    </row>
    <row r="600" spans="2:2" x14ac:dyDescent="0.2">
      <c r="B600" s="136"/>
    </row>
    <row r="601" spans="2:2" x14ac:dyDescent="0.2">
      <c r="B601" s="136"/>
    </row>
    <row r="602" spans="2:2" x14ac:dyDescent="0.2">
      <c r="B602" s="136"/>
    </row>
    <row r="603" spans="2:2" x14ac:dyDescent="0.2">
      <c r="B603" s="136"/>
    </row>
    <row r="604" spans="2:2" x14ac:dyDescent="0.2">
      <c r="B604" s="136"/>
    </row>
    <row r="605" spans="2:2" x14ac:dyDescent="0.2">
      <c r="B605" s="136"/>
    </row>
    <row r="606" spans="2:2" x14ac:dyDescent="0.2">
      <c r="B606" s="136"/>
    </row>
    <row r="607" spans="2:2" x14ac:dyDescent="0.2">
      <c r="B607" s="136"/>
    </row>
    <row r="608" spans="2:2" x14ac:dyDescent="0.2">
      <c r="B608" s="136"/>
    </row>
    <row r="609" spans="2:2" x14ac:dyDescent="0.2">
      <c r="B609" s="136"/>
    </row>
    <row r="610" spans="2:2" x14ac:dyDescent="0.2">
      <c r="B610" s="136"/>
    </row>
    <row r="611" spans="2:2" x14ac:dyDescent="0.2">
      <c r="B611" s="136"/>
    </row>
    <row r="612" spans="2:2" x14ac:dyDescent="0.2">
      <c r="B612" s="136"/>
    </row>
    <row r="613" spans="2:2" x14ac:dyDescent="0.2">
      <c r="B613" s="136"/>
    </row>
    <row r="614" spans="2:2" x14ac:dyDescent="0.2">
      <c r="B614" s="136"/>
    </row>
    <row r="615" spans="2:2" x14ac:dyDescent="0.2">
      <c r="B615" s="136"/>
    </row>
    <row r="616" spans="2:2" x14ac:dyDescent="0.2">
      <c r="B616" s="136"/>
    </row>
    <row r="617" spans="2:2" x14ac:dyDescent="0.2">
      <c r="B617" s="136"/>
    </row>
    <row r="618" spans="2:2" x14ac:dyDescent="0.2">
      <c r="B618" s="136"/>
    </row>
    <row r="619" spans="2:2" x14ac:dyDescent="0.2">
      <c r="B619" s="136"/>
    </row>
    <row r="620" spans="2:2" x14ac:dyDescent="0.2">
      <c r="B620" s="136"/>
    </row>
    <row r="621" spans="2:2" x14ac:dyDescent="0.2">
      <c r="B621" s="136"/>
    </row>
    <row r="622" spans="2:2" x14ac:dyDescent="0.2">
      <c r="B622" s="136"/>
    </row>
    <row r="623" spans="2:2" x14ac:dyDescent="0.2">
      <c r="B623" s="136"/>
    </row>
    <row r="624" spans="2:2" x14ac:dyDescent="0.2">
      <c r="B624" s="136"/>
    </row>
    <row r="625" spans="2:2" x14ac:dyDescent="0.2">
      <c r="B625" s="136"/>
    </row>
    <row r="626" spans="2:2" x14ac:dyDescent="0.2">
      <c r="B626" s="136"/>
    </row>
    <row r="627" spans="2:2" x14ac:dyDescent="0.2">
      <c r="B627" s="136"/>
    </row>
    <row r="628" spans="2:2" x14ac:dyDescent="0.2">
      <c r="B628" s="136"/>
    </row>
    <row r="629" spans="2:2" x14ac:dyDescent="0.2">
      <c r="B629" s="136"/>
    </row>
    <row r="630" spans="2:2" x14ac:dyDescent="0.2">
      <c r="B630" s="136"/>
    </row>
    <row r="631" spans="2:2" x14ac:dyDescent="0.2">
      <c r="B631" s="136"/>
    </row>
    <row r="632" spans="2:2" x14ac:dyDescent="0.2">
      <c r="B632" s="136"/>
    </row>
    <row r="633" spans="2:2" x14ac:dyDescent="0.2">
      <c r="B633" s="136"/>
    </row>
    <row r="634" spans="2:2" x14ac:dyDescent="0.2">
      <c r="B634" s="136"/>
    </row>
    <row r="635" spans="2:2" x14ac:dyDescent="0.2">
      <c r="B635" s="136"/>
    </row>
    <row r="636" spans="2:2" x14ac:dyDescent="0.2">
      <c r="B636" s="136"/>
    </row>
    <row r="637" spans="2:2" x14ac:dyDescent="0.2">
      <c r="B637" s="136"/>
    </row>
    <row r="638" spans="2:2" x14ac:dyDescent="0.2">
      <c r="B638" s="136"/>
    </row>
    <row r="639" spans="2:2" x14ac:dyDescent="0.2">
      <c r="B639" s="136"/>
    </row>
    <row r="640" spans="2:2" x14ac:dyDescent="0.2">
      <c r="B640" s="136"/>
    </row>
    <row r="641" spans="2:2" x14ac:dyDescent="0.2">
      <c r="B641" s="136"/>
    </row>
    <row r="642" spans="2:2" x14ac:dyDescent="0.2">
      <c r="B642" s="136"/>
    </row>
    <row r="643" spans="2:2" x14ac:dyDescent="0.2">
      <c r="B643" s="136"/>
    </row>
    <row r="644" spans="2:2" x14ac:dyDescent="0.2">
      <c r="B644" s="136"/>
    </row>
    <row r="645" spans="2:2" x14ac:dyDescent="0.2">
      <c r="B645" s="136"/>
    </row>
    <row r="646" spans="2:2" x14ac:dyDescent="0.2">
      <c r="B646" s="136"/>
    </row>
    <row r="647" spans="2:2" x14ac:dyDescent="0.2">
      <c r="B647" s="136"/>
    </row>
    <row r="648" spans="2:2" x14ac:dyDescent="0.2">
      <c r="B648" s="136"/>
    </row>
    <row r="649" spans="2:2" x14ac:dyDescent="0.2">
      <c r="B649" s="136"/>
    </row>
    <row r="650" spans="2:2" x14ac:dyDescent="0.2">
      <c r="B650" s="136"/>
    </row>
    <row r="651" spans="2:2" x14ac:dyDescent="0.2">
      <c r="B651" s="136"/>
    </row>
    <row r="652" spans="2:2" x14ac:dyDescent="0.2">
      <c r="B652" s="136"/>
    </row>
    <row r="653" spans="2:2" x14ac:dyDescent="0.2">
      <c r="B653" s="136"/>
    </row>
    <row r="654" spans="2:2" x14ac:dyDescent="0.2">
      <c r="B654" s="136"/>
    </row>
    <row r="655" spans="2:2" x14ac:dyDescent="0.2">
      <c r="B655" s="136"/>
    </row>
    <row r="656" spans="2:2" x14ac:dyDescent="0.2">
      <c r="B656" s="136"/>
    </row>
    <row r="657" spans="2:2" x14ac:dyDescent="0.2">
      <c r="B657" s="136"/>
    </row>
    <row r="658" spans="2:2" x14ac:dyDescent="0.2">
      <c r="B658" s="136"/>
    </row>
    <row r="659" spans="2:2" x14ac:dyDescent="0.2">
      <c r="B659" s="136"/>
    </row>
    <row r="660" spans="2:2" x14ac:dyDescent="0.2">
      <c r="B660" s="136"/>
    </row>
    <row r="661" spans="2:2" x14ac:dyDescent="0.2">
      <c r="B661" s="136"/>
    </row>
    <row r="662" spans="2:2" x14ac:dyDescent="0.2">
      <c r="B662" s="136"/>
    </row>
    <row r="663" spans="2:2" x14ac:dyDescent="0.2">
      <c r="B663" s="136"/>
    </row>
    <row r="664" spans="2:2" x14ac:dyDescent="0.2">
      <c r="B664" s="136"/>
    </row>
    <row r="665" spans="2:2" x14ac:dyDescent="0.2">
      <c r="B665" s="136"/>
    </row>
    <row r="666" spans="2:2" x14ac:dyDescent="0.2">
      <c r="B666" s="136"/>
    </row>
    <row r="667" spans="2:2" x14ac:dyDescent="0.2">
      <c r="B667" s="136"/>
    </row>
    <row r="668" spans="2:2" x14ac:dyDescent="0.2">
      <c r="B668" s="136"/>
    </row>
    <row r="669" spans="2:2" x14ac:dyDescent="0.2">
      <c r="B669" s="136"/>
    </row>
    <row r="670" spans="2:2" x14ac:dyDescent="0.2">
      <c r="B670" s="136"/>
    </row>
    <row r="671" spans="2:2" x14ac:dyDescent="0.2">
      <c r="B671" s="136"/>
    </row>
    <row r="672" spans="2:2" x14ac:dyDescent="0.2">
      <c r="B672" s="136"/>
    </row>
    <row r="673" spans="2:2" x14ac:dyDescent="0.2">
      <c r="B673" s="136"/>
    </row>
    <row r="674" spans="2:2" x14ac:dyDescent="0.2">
      <c r="B674" s="136"/>
    </row>
    <row r="675" spans="2:2" x14ac:dyDescent="0.2">
      <c r="B675" s="136"/>
    </row>
    <row r="676" spans="2:2" x14ac:dyDescent="0.2">
      <c r="B676" s="136"/>
    </row>
    <row r="677" spans="2:2" x14ac:dyDescent="0.2">
      <c r="B677" s="136"/>
    </row>
    <row r="678" spans="2:2" x14ac:dyDescent="0.2">
      <c r="B678" s="136"/>
    </row>
    <row r="679" spans="2:2" x14ac:dyDescent="0.2">
      <c r="B679" s="136"/>
    </row>
    <row r="680" spans="2:2" x14ac:dyDescent="0.2">
      <c r="B680" s="136"/>
    </row>
    <row r="681" spans="2:2" x14ac:dyDescent="0.2">
      <c r="B681" s="136"/>
    </row>
    <row r="682" spans="2:2" x14ac:dyDescent="0.2">
      <c r="B682" s="136"/>
    </row>
    <row r="683" spans="2:2" x14ac:dyDescent="0.2">
      <c r="B683" s="136"/>
    </row>
    <row r="684" spans="2:2" x14ac:dyDescent="0.2">
      <c r="B684" s="136"/>
    </row>
    <row r="685" spans="2:2" x14ac:dyDescent="0.2">
      <c r="B685" s="136"/>
    </row>
    <row r="686" spans="2:2" x14ac:dyDescent="0.2">
      <c r="B686" s="136"/>
    </row>
    <row r="687" spans="2:2" x14ac:dyDescent="0.2">
      <c r="B687" s="136"/>
    </row>
    <row r="688" spans="2:2" x14ac:dyDescent="0.2">
      <c r="B688" s="136"/>
    </row>
    <row r="689" spans="2:2" x14ac:dyDescent="0.2">
      <c r="B689" s="136"/>
    </row>
    <row r="690" spans="2:2" x14ac:dyDescent="0.2">
      <c r="B690" s="136"/>
    </row>
    <row r="691" spans="2:2" x14ac:dyDescent="0.2">
      <c r="B691" s="136"/>
    </row>
    <row r="692" spans="2:2" x14ac:dyDescent="0.2">
      <c r="B692" s="136"/>
    </row>
    <row r="693" spans="2:2" x14ac:dyDescent="0.2">
      <c r="B693" s="136"/>
    </row>
    <row r="694" spans="2:2" x14ac:dyDescent="0.2">
      <c r="B694" s="136"/>
    </row>
    <row r="695" spans="2:2" x14ac:dyDescent="0.2">
      <c r="B695" s="136"/>
    </row>
    <row r="696" spans="2:2" x14ac:dyDescent="0.2">
      <c r="B696" s="136"/>
    </row>
    <row r="697" spans="2:2" x14ac:dyDescent="0.2">
      <c r="B697" s="136"/>
    </row>
    <row r="698" spans="2:2" x14ac:dyDescent="0.2">
      <c r="B698" s="136"/>
    </row>
    <row r="699" spans="2:2" x14ac:dyDescent="0.2">
      <c r="B699" s="136"/>
    </row>
    <row r="700" spans="2:2" x14ac:dyDescent="0.2">
      <c r="B700" s="136"/>
    </row>
    <row r="701" spans="2:2" x14ac:dyDescent="0.2">
      <c r="B701" s="136"/>
    </row>
    <row r="702" spans="2:2" x14ac:dyDescent="0.2">
      <c r="B702" s="136"/>
    </row>
    <row r="703" spans="2:2" x14ac:dyDescent="0.2">
      <c r="B703" s="136"/>
    </row>
    <row r="704" spans="2:2" x14ac:dyDescent="0.2">
      <c r="B704" s="136"/>
    </row>
    <row r="705" spans="2:2" x14ac:dyDescent="0.2">
      <c r="B705" s="136"/>
    </row>
    <row r="706" spans="2:2" x14ac:dyDescent="0.2">
      <c r="B706" s="136"/>
    </row>
    <row r="707" spans="2:2" x14ac:dyDescent="0.2">
      <c r="B707" s="136"/>
    </row>
    <row r="708" spans="2:2" x14ac:dyDescent="0.2">
      <c r="B708" s="136"/>
    </row>
    <row r="709" spans="2:2" x14ac:dyDescent="0.2">
      <c r="B709" s="136"/>
    </row>
    <row r="710" spans="2:2" x14ac:dyDescent="0.2">
      <c r="B710" s="136"/>
    </row>
    <row r="711" spans="2:2" x14ac:dyDescent="0.2">
      <c r="B711" s="136"/>
    </row>
    <row r="712" spans="2:2" x14ac:dyDescent="0.2">
      <c r="B712" s="136"/>
    </row>
    <row r="713" spans="2:2" x14ac:dyDescent="0.2">
      <c r="B713" s="136"/>
    </row>
    <row r="714" spans="2:2" x14ac:dyDescent="0.2">
      <c r="B714" s="136"/>
    </row>
    <row r="715" spans="2:2" x14ac:dyDescent="0.2">
      <c r="B715" s="136"/>
    </row>
    <row r="716" spans="2:2" x14ac:dyDescent="0.2">
      <c r="B716" s="136"/>
    </row>
    <row r="717" spans="2:2" x14ac:dyDescent="0.2">
      <c r="B717" s="136"/>
    </row>
    <row r="718" spans="2:2" x14ac:dyDescent="0.2">
      <c r="B718" s="136"/>
    </row>
    <row r="719" spans="2:2" x14ac:dyDescent="0.2">
      <c r="B719" s="136"/>
    </row>
    <row r="720" spans="2:2" x14ac:dyDescent="0.2">
      <c r="B720" s="136"/>
    </row>
    <row r="721" spans="2:2" x14ac:dyDescent="0.2">
      <c r="B721" s="136"/>
    </row>
    <row r="722" spans="2:2" x14ac:dyDescent="0.2">
      <c r="B722" s="136"/>
    </row>
    <row r="723" spans="2:2" x14ac:dyDescent="0.2">
      <c r="B723" s="136"/>
    </row>
    <row r="724" spans="2:2" x14ac:dyDescent="0.2">
      <c r="B724" s="136"/>
    </row>
    <row r="725" spans="2:2" x14ac:dyDescent="0.2">
      <c r="B725" s="136"/>
    </row>
    <row r="726" spans="2:2" x14ac:dyDescent="0.2">
      <c r="B726" s="136"/>
    </row>
    <row r="727" spans="2:2" x14ac:dyDescent="0.2">
      <c r="B727" s="136"/>
    </row>
    <row r="728" spans="2:2" x14ac:dyDescent="0.2">
      <c r="B728" s="136"/>
    </row>
    <row r="729" spans="2:2" x14ac:dyDescent="0.2">
      <c r="B729" s="136"/>
    </row>
    <row r="730" spans="2:2" x14ac:dyDescent="0.2">
      <c r="B730" s="136"/>
    </row>
    <row r="731" spans="2:2" x14ac:dyDescent="0.2">
      <c r="B731" s="136"/>
    </row>
    <row r="732" spans="2:2" x14ac:dyDescent="0.2">
      <c r="B732" s="136"/>
    </row>
    <row r="733" spans="2:2" x14ac:dyDescent="0.2">
      <c r="B733" s="136"/>
    </row>
    <row r="734" spans="2:2" x14ac:dyDescent="0.2">
      <c r="B734" s="136"/>
    </row>
    <row r="735" spans="2:2" x14ac:dyDescent="0.2">
      <c r="B735" s="136"/>
    </row>
    <row r="736" spans="2:2" x14ac:dyDescent="0.2">
      <c r="B736" s="136"/>
    </row>
    <row r="737" spans="2:2" x14ac:dyDescent="0.2">
      <c r="B737" s="136"/>
    </row>
    <row r="738" spans="2:2" x14ac:dyDescent="0.2">
      <c r="B738" s="136"/>
    </row>
    <row r="739" spans="2:2" x14ac:dyDescent="0.2">
      <c r="B739" s="136"/>
    </row>
    <row r="740" spans="2:2" x14ac:dyDescent="0.2">
      <c r="B740" s="136"/>
    </row>
    <row r="741" spans="2:2" x14ac:dyDescent="0.2">
      <c r="B741" s="136"/>
    </row>
    <row r="742" spans="2:2" x14ac:dyDescent="0.2">
      <c r="B742" s="136"/>
    </row>
    <row r="743" spans="2:2" x14ac:dyDescent="0.2">
      <c r="B743" s="136"/>
    </row>
    <row r="744" spans="2:2" x14ac:dyDescent="0.2">
      <c r="B744" s="136"/>
    </row>
    <row r="745" spans="2:2" x14ac:dyDescent="0.2">
      <c r="B745" s="136"/>
    </row>
    <row r="746" spans="2:2" x14ac:dyDescent="0.2">
      <c r="B746" s="136"/>
    </row>
    <row r="747" spans="2:2" x14ac:dyDescent="0.2">
      <c r="B747" s="136"/>
    </row>
    <row r="748" spans="2:2" x14ac:dyDescent="0.2">
      <c r="B748" s="136"/>
    </row>
    <row r="749" spans="2:2" x14ac:dyDescent="0.2">
      <c r="B749" s="136"/>
    </row>
    <row r="750" spans="2:2" x14ac:dyDescent="0.2">
      <c r="B750" s="136"/>
    </row>
    <row r="751" spans="2:2" x14ac:dyDescent="0.2">
      <c r="B751" s="136"/>
    </row>
    <row r="752" spans="2:2" x14ac:dyDescent="0.2">
      <c r="B752" s="136"/>
    </row>
    <row r="753" spans="2:2" x14ac:dyDescent="0.2">
      <c r="B753" s="136"/>
    </row>
    <row r="754" spans="2:2" x14ac:dyDescent="0.2">
      <c r="B754" s="136"/>
    </row>
    <row r="755" spans="2:2" x14ac:dyDescent="0.2">
      <c r="B755" s="136"/>
    </row>
    <row r="756" spans="2:2" x14ac:dyDescent="0.2">
      <c r="B756" s="136"/>
    </row>
    <row r="757" spans="2:2" x14ac:dyDescent="0.2">
      <c r="B757" s="136"/>
    </row>
    <row r="758" spans="2:2" x14ac:dyDescent="0.2">
      <c r="B758" s="136"/>
    </row>
    <row r="759" spans="2:2" x14ac:dyDescent="0.2">
      <c r="B759" s="136"/>
    </row>
    <row r="760" spans="2:2" x14ac:dyDescent="0.2">
      <c r="B760" s="136"/>
    </row>
    <row r="761" spans="2:2" x14ac:dyDescent="0.2">
      <c r="B761" s="136"/>
    </row>
    <row r="762" spans="2:2" x14ac:dyDescent="0.2">
      <c r="B762" s="136"/>
    </row>
    <row r="763" spans="2:2" x14ac:dyDescent="0.2">
      <c r="B763" s="136"/>
    </row>
    <row r="764" spans="2:2" x14ac:dyDescent="0.2">
      <c r="B764" s="136"/>
    </row>
    <row r="765" spans="2:2" x14ac:dyDescent="0.2">
      <c r="B765" s="136"/>
    </row>
    <row r="766" spans="2:2" x14ac:dyDescent="0.2">
      <c r="B766" s="136"/>
    </row>
    <row r="767" spans="2:2" x14ac:dyDescent="0.2">
      <c r="B767" s="136"/>
    </row>
    <row r="768" spans="2:2" x14ac:dyDescent="0.2">
      <c r="B768" s="136"/>
    </row>
    <row r="769" spans="2:2" x14ac:dyDescent="0.2">
      <c r="B769" s="136"/>
    </row>
    <row r="770" spans="2:2" x14ac:dyDescent="0.2">
      <c r="B770" s="136"/>
    </row>
    <row r="771" spans="2:2" x14ac:dyDescent="0.2">
      <c r="B771" s="136"/>
    </row>
    <row r="772" spans="2:2" x14ac:dyDescent="0.2">
      <c r="B772" s="136"/>
    </row>
    <row r="773" spans="2:2" x14ac:dyDescent="0.2">
      <c r="B773" s="136"/>
    </row>
    <row r="774" spans="2:2" x14ac:dyDescent="0.2">
      <c r="B774" s="136"/>
    </row>
    <row r="775" spans="2:2" x14ac:dyDescent="0.2">
      <c r="B775" s="136"/>
    </row>
    <row r="776" spans="2:2" x14ac:dyDescent="0.2">
      <c r="B776" s="136"/>
    </row>
    <row r="777" spans="2:2" x14ac:dyDescent="0.2">
      <c r="B777" s="136"/>
    </row>
    <row r="778" spans="2:2" x14ac:dyDescent="0.2">
      <c r="B778" s="136"/>
    </row>
    <row r="779" spans="2:2" x14ac:dyDescent="0.2">
      <c r="B779" s="136"/>
    </row>
    <row r="780" spans="2:2" x14ac:dyDescent="0.2">
      <c r="B780" s="136"/>
    </row>
    <row r="781" spans="2:2" x14ac:dyDescent="0.2">
      <c r="B781" s="136"/>
    </row>
    <row r="782" spans="2:2" x14ac:dyDescent="0.2">
      <c r="B782" s="136"/>
    </row>
    <row r="783" spans="2:2" x14ac:dyDescent="0.2">
      <c r="B783" s="136"/>
    </row>
    <row r="784" spans="2:2" x14ac:dyDescent="0.2">
      <c r="B784" s="136"/>
    </row>
    <row r="785" spans="2:2" x14ac:dyDescent="0.2">
      <c r="B785" s="136"/>
    </row>
    <row r="786" spans="2:2" x14ac:dyDescent="0.2">
      <c r="B786" s="136"/>
    </row>
    <row r="787" spans="2:2" x14ac:dyDescent="0.2">
      <c r="B787" s="136"/>
    </row>
    <row r="788" spans="2:2" x14ac:dyDescent="0.2">
      <c r="B788" s="136"/>
    </row>
    <row r="789" spans="2:2" x14ac:dyDescent="0.2">
      <c r="B789" s="136"/>
    </row>
    <row r="790" spans="2:2" x14ac:dyDescent="0.2">
      <c r="B790" s="136"/>
    </row>
    <row r="791" spans="2:2" x14ac:dyDescent="0.2">
      <c r="B791" s="136"/>
    </row>
    <row r="792" spans="2:2" x14ac:dyDescent="0.2">
      <c r="B792" s="136"/>
    </row>
    <row r="793" spans="2:2" x14ac:dyDescent="0.2">
      <c r="B793" s="136"/>
    </row>
    <row r="794" spans="2:2" x14ac:dyDescent="0.2">
      <c r="B794" s="136"/>
    </row>
    <row r="795" spans="2:2" x14ac:dyDescent="0.2">
      <c r="B795" s="136"/>
    </row>
    <row r="796" spans="2:2" x14ac:dyDescent="0.2">
      <c r="B796" s="136"/>
    </row>
    <row r="797" spans="2:2" x14ac:dyDescent="0.2">
      <c r="B797" s="136"/>
    </row>
    <row r="798" spans="2:2" x14ac:dyDescent="0.2">
      <c r="B798" s="136"/>
    </row>
    <row r="799" spans="2:2" x14ac:dyDescent="0.2">
      <c r="B799" s="136"/>
    </row>
    <row r="800" spans="2:2" x14ac:dyDescent="0.2">
      <c r="B800" s="136"/>
    </row>
    <row r="801" spans="2:2" x14ac:dyDescent="0.2">
      <c r="B801" s="136"/>
    </row>
    <row r="802" spans="2:2" x14ac:dyDescent="0.2">
      <c r="B802" s="136"/>
    </row>
    <row r="803" spans="2:2" x14ac:dyDescent="0.2">
      <c r="B803" s="136"/>
    </row>
    <row r="804" spans="2:2" x14ac:dyDescent="0.2">
      <c r="B804" s="136"/>
    </row>
    <row r="805" spans="2:2" x14ac:dyDescent="0.2">
      <c r="B805" s="136"/>
    </row>
    <row r="806" spans="2:2" x14ac:dyDescent="0.2">
      <c r="B806" s="136"/>
    </row>
    <row r="807" spans="2:2" x14ac:dyDescent="0.2">
      <c r="B807" s="136"/>
    </row>
    <row r="808" spans="2:2" x14ac:dyDescent="0.2">
      <c r="B808" s="136"/>
    </row>
    <row r="809" spans="2:2" x14ac:dyDescent="0.2">
      <c r="B809" s="136"/>
    </row>
    <row r="810" spans="2:2" x14ac:dyDescent="0.2">
      <c r="B810" s="136"/>
    </row>
    <row r="811" spans="2:2" x14ac:dyDescent="0.2">
      <c r="B811" s="136"/>
    </row>
    <row r="812" spans="2:2" x14ac:dyDescent="0.2">
      <c r="B812" s="136"/>
    </row>
    <row r="813" spans="2:2" x14ac:dyDescent="0.2">
      <c r="B813" s="136"/>
    </row>
    <row r="814" spans="2:2" x14ac:dyDescent="0.2">
      <c r="B814" s="136"/>
    </row>
    <row r="815" spans="2:2" x14ac:dyDescent="0.2">
      <c r="B815" s="136"/>
    </row>
    <row r="816" spans="2:2" x14ac:dyDescent="0.2">
      <c r="B816" s="136"/>
    </row>
    <row r="817" spans="2:2" x14ac:dyDescent="0.2">
      <c r="B817" s="136"/>
    </row>
    <row r="818" spans="2:2" x14ac:dyDescent="0.2">
      <c r="B818" s="136"/>
    </row>
    <row r="819" spans="2:2" x14ac:dyDescent="0.2">
      <c r="B819" s="136"/>
    </row>
    <row r="820" spans="2:2" x14ac:dyDescent="0.2">
      <c r="B820" s="136"/>
    </row>
    <row r="821" spans="2:2" x14ac:dyDescent="0.2">
      <c r="B821" s="136"/>
    </row>
    <row r="822" spans="2:2" x14ac:dyDescent="0.2">
      <c r="B822" s="136"/>
    </row>
    <row r="823" spans="2:2" x14ac:dyDescent="0.2">
      <c r="B823" s="136"/>
    </row>
    <row r="824" spans="2:2" x14ac:dyDescent="0.2">
      <c r="B824" s="136"/>
    </row>
    <row r="825" spans="2:2" x14ac:dyDescent="0.2">
      <c r="B825" s="136"/>
    </row>
    <row r="826" spans="2:2" x14ac:dyDescent="0.2">
      <c r="B826" s="136"/>
    </row>
    <row r="827" spans="2:2" x14ac:dyDescent="0.2">
      <c r="B827" s="136"/>
    </row>
    <row r="828" spans="2:2" x14ac:dyDescent="0.2">
      <c r="B828" s="136"/>
    </row>
    <row r="829" spans="2:2" x14ac:dyDescent="0.2">
      <c r="B829" s="136"/>
    </row>
    <row r="830" spans="2:2" x14ac:dyDescent="0.2">
      <c r="B830" s="136"/>
    </row>
    <row r="831" spans="2:2" x14ac:dyDescent="0.2">
      <c r="B831" s="136"/>
    </row>
    <row r="832" spans="2:2" x14ac:dyDescent="0.2">
      <c r="B832" s="136"/>
    </row>
    <row r="833" spans="2:2" x14ac:dyDescent="0.2">
      <c r="B833" s="136"/>
    </row>
    <row r="834" spans="2:2" x14ac:dyDescent="0.2">
      <c r="B834" s="136"/>
    </row>
    <row r="835" spans="2:2" x14ac:dyDescent="0.2">
      <c r="B835" s="136"/>
    </row>
    <row r="836" spans="2:2" x14ac:dyDescent="0.2">
      <c r="B836" s="136"/>
    </row>
    <row r="837" spans="2:2" x14ac:dyDescent="0.2">
      <c r="B837" s="136"/>
    </row>
    <row r="838" spans="2:2" x14ac:dyDescent="0.2">
      <c r="B838" s="136"/>
    </row>
    <row r="839" spans="2:2" x14ac:dyDescent="0.2">
      <c r="B839" s="136"/>
    </row>
    <row r="840" spans="2:2" x14ac:dyDescent="0.2">
      <c r="B840" s="136"/>
    </row>
    <row r="841" spans="2:2" x14ac:dyDescent="0.2">
      <c r="B841" s="136"/>
    </row>
    <row r="842" spans="2:2" x14ac:dyDescent="0.2">
      <c r="B842" s="136"/>
    </row>
    <row r="843" spans="2:2" x14ac:dyDescent="0.2">
      <c r="B843" s="136"/>
    </row>
    <row r="844" spans="2:2" x14ac:dyDescent="0.2">
      <c r="B844" s="136"/>
    </row>
    <row r="845" spans="2:2" x14ac:dyDescent="0.2">
      <c r="B845" s="136"/>
    </row>
    <row r="846" spans="2:2" x14ac:dyDescent="0.2">
      <c r="B846" s="136"/>
    </row>
    <row r="847" spans="2:2" x14ac:dyDescent="0.2">
      <c r="B847" s="136"/>
    </row>
    <row r="848" spans="2:2" x14ac:dyDescent="0.2">
      <c r="B848" s="136"/>
    </row>
    <row r="849" spans="2:2" x14ac:dyDescent="0.2">
      <c r="B849" s="136"/>
    </row>
    <row r="850" spans="2:2" x14ac:dyDescent="0.2">
      <c r="B850" s="136"/>
    </row>
    <row r="851" spans="2:2" x14ac:dyDescent="0.2">
      <c r="B851" s="136"/>
    </row>
    <row r="852" spans="2:2" x14ac:dyDescent="0.2">
      <c r="B852" s="136"/>
    </row>
    <row r="853" spans="2:2" x14ac:dyDescent="0.2">
      <c r="B853" s="136"/>
    </row>
    <row r="854" spans="2:2" x14ac:dyDescent="0.2">
      <c r="B854" s="136"/>
    </row>
    <row r="855" spans="2:2" x14ac:dyDescent="0.2">
      <c r="B855" s="136"/>
    </row>
    <row r="856" spans="2:2" x14ac:dyDescent="0.2">
      <c r="B856" s="136"/>
    </row>
    <row r="857" spans="2:2" x14ac:dyDescent="0.2">
      <c r="B857" s="136"/>
    </row>
    <row r="858" spans="2:2" x14ac:dyDescent="0.2">
      <c r="B858" s="136"/>
    </row>
    <row r="859" spans="2:2" x14ac:dyDescent="0.2">
      <c r="B859" s="136"/>
    </row>
    <row r="860" spans="2:2" x14ac:dyDescent="0.2">
      <c r="B860" s="136"/>
    </row>
    <row r="861" spans="2:2" x14ac:dyDescent="0.2">
      <c r="B861" s="136"/>
    </row>
    <row r="862" spans="2:2" x14ac:dyDescent="0.2">
      <c r="B862" s="136"/>
    </row>
    <row r="863" spans="2:2" x14ac:dyDescent="0.2">
      <c r="B863" s="136"/>
    </row>
    <row r="864" spans="2:2" x14ac:dyDescent="0.2">
      <c r="B864" s="136"/>
    </row>
    <row r="865" spans="2:2" x14ac:dyDescent="0.2">
      <c r="B865" s="136"/>
    </row>
    <row r="866" spans="2:2" x14ac:dyDescent="0.2">
      <c r="B866" s="136"/>
    </row>
    <row r="867" spans="2:2" x14ac:dyDescent="0.2">
      <c r="B867" s="136"/>
    </row>
    <row r="868" spans="2:2" x14ac:dyDescent="0.2">
      <c r="B868" s="136"/>
    </row>
    <row r="869" spans="2:2" x14ac:dyDescent="0.2">
      <c r="B869" s="136"/>
    </row>
    <row r="870" spans="2:2" x14ac:dyDescent="0.2">
      <c r="B870" s="136"/>
    </row>
    <row r="871" spans="2:2" x14ac:dyDescent="0.2">
      <c r="B871" s="136"/>
    </row>
    <row r="872" spans="2:2" x14ac:dyDescent="0.2">
      <c r="B872" s="136"/>
    </row>
    <row r="873" spans="2:2" x14ac:dyDescent="0.2">
      <c r="B873" s="136"/>
    </row>
    <row r="874" spans="2:2" x14ac:dyDescent="0.2">
      <c r="B874" s="136"/>
    </row>
    <row r="875" spans="2:2" x14ac:dyDescent="0.2">
      <c r="B875" s="136"/>
    </row>
    <row r="876" spans="2:2" x14ac:dyDescent="0.2">
      <c r="B876" s="136"/>
    </row>
    <row r="877" spans="2:2" x14ac:dyDescent="0.2">
      <c r="B877" s="136"/>
    </row>
    <row r="878" spans="2:2" x14ac:dyDescent="0.2">
      <c r="B878" s="136"/>
    </row>
    <row r="879" spans="2:2" x14ac:dyDescent="0.2">
      <c r="B879" s="136"/>
    </row>
    <row r="880" spans="2:2" x14ac:dyDescent="0.2">
      <c r="B880" s="136"/>
    </row>
    <row r="881" spans="2:2" x14ac:dyDescent="0.2">
      <c r="B881" s="136"/>
    </row>
    <row r="882" spans="2:2" x14ac:dyDescent="0.2">
      <c r="B882" s="136"/>
    </row>
    <row r="883" spans="2:2" x14ac:dyDescent="0.2">
      <c r="B883" s="136"/>
    </row>
    <row r="884" spans="2:2" x14ac:dyDescent="0.2">
      <c r="B884" s="136"/>
    </row>
    <row r="885" spans="2:2" x14ac:dyDescent="0.2">
      <c r="B885" s="136"/>
    </row>
    <row r="886" spans="2:2" x14ac:dyDescent="0.2">
      <c r="B886" s="136"/>
    </row>
    <row r="887" spans="2:2" x14ac:dyDescent="0.2">
      <c r="B887" s="136"/>
    </row>
    <row r="888" spans="2:2" x14ac:dyDescent="0.2">
      <c r="B888" s="136"/>
    </row>
    <row r="889" spans="2:2" x14ac:dyDescent="0.2">
      <c r="B889" s="136"/>
    </row>
    <row r="890" spans="2:2" x14ac:dyDescent="0.2">
      <c r="B890" s="136"/>
    </row>
    <row r="891" spans="2:2" x14ac:dyDescent="0.2">
      <c r="B891" s="136"/>
    </row>
    <row r="892" spans="2:2" x14ac:dyDescent="0.2">
      <c r="B892" s="136"/>
    </row>
    <row r="893" spans="2:2" x14ac:dyDescent="0.2">
      <c r="B893" s="136"/>
    </row>
    <row r="894" spans="2:2" x14ac:dyDescent="0.2">
      <c r="B894" s="136"/>
    </row>
    <row r="895" spans="2:2" x14ac:dyDescent="0.2">
      <c r="B895" s="136"/>
    </row>
    <row r="896" spans="2:2" x14ac:dyDescent="0.2">
      <c r="B896" s="136"/>
    </row>
    <row r="897" spans="2:2" x14ac:dyDescent="0.2">
      <c r="B897" s="136"/>
    </row>
    <row r="898" spans="2:2" x14ac:dyDescent="0.2">
      <c r="B898" s="136"/>
    </row>
    <row r="899" spans="2:2" x14ac:dyDescent="0.2">
      <c r="B899" s="136"/>
    </row>
    <row r="900" spans="2:2" x14ac:dyDescent="0.2">
      <c r="B900" s="136"/>
    </row>
    <row r="901" spans="2:2" x14ac:dyDescent="0.2">
      <c r="B901" s="136"/>
    </row>
    <row r="902" spans="2:2" x14ac:dyDescent="0.2">
      <c r="B902" s="136"/>
    </row>
    <row r="903" spans="2:2" x14ac:dyDescent="0.2">
      <c r="B903" s="136"/>
    </row>
    <row r="904" spans="2:2" x14ac:dyDescent="0.2">
      <c r="B904" s="136"/>
    </row>
    <row r="905" spans="2:2" x14ac:dyDescent="0.2">
      <c r="B905" s="136"/>
    </row>
    <row r="906" spans="2:2" x14ac:dyDescent="0.2">
      <c r="B906" s="136"/>
    </row>
    <row r="907" spans="2:2" x14ac:dyDescent="0.2">
      <c r="B907" s="136"/>
    </row>
    <row r="908" spans="2:2" x14ac:dyDescent="0.2">
      <c r="B908" s="136"/>
    </row>
    <row r="909" spans="2:2" x14ac:dyDescent="0.2">
      <c r="B909" s="136"/>
    </row>
    <row r="910" spans="2:2" x14ac:dyDescent="0.2">
      <c r="B910" s="136"/>
    </row>
    <row r="911" spans="2:2" x14ac:dyDescent="0.2">
      <c r="B911" s="136"/>
    </row>
    <row r="912" spans="2:2" x14ac:dyDescent="0.2">
      <c r="B912" s="136"/>
    </row>
    <row r="913" spans="2:2" x14ac:dyDescent="0.2">
      <c r="B913" s="136"/>
    </row>
    <row r="914" spans="2:2" x14ac:dyDescent="0.2">
      <c r="B914" s="136"/>
    </row>
    <row r="915" spans="2:2" x14ac:dyDescent="0.2">
      <c r="B915" s="136"/>
    </row>
    <row r="916" spans="2:2" x14ac:dyDescent="0.2">
      <c r="B916" s="136"/>
    </row>
    <row r="917" spans="2:2" x14ac:dyDescent="0.2">
      <c r="B917" s="136"/>
    </row>
    <row r="918" spans="2:2" x14ac:dyDescent="0.2">
      <c r="B918" s="136"/>
    </row>
    <row r="919" spans="2:2" x14ac:dyDescent="0.2">
      <c r="B919" s="136"/>
    </row>
    <row r="920" spans="2:2" x14ac:dyDescent="0.2">
      <c r="B920" s="136"/>
    </row>
    <row r="921" spans="2:2" x14ac:dyDescent="0.2">
      <c r="B921" s="136"/>
    </row>
    <row r="922" spans="2:2" x14ac:dyDescent="0.2">
      <c r="B922" s="136"/>
    </row>
    <row r="923" spans="2:2" x14ac:dyDescent="0.2">
      <c r="B923" s="136"/>
    </row>
    <row r="924" spans="2:2" x14ac:dyDescent="0.2">
      <c r="B924" s="136"/>
    </row>
    <row r="925" spans="2:2" x14ac:dyDescent="0.2">
      <c r="B925" s="136"/>
    </row>
    <row r="926" spans="2:2" x14ac:dyDescent="0.2">
      <c r="B926" s="136"/>
    </row>
    <row r="927" spans="2:2" x14ac:dyDescent="0.2">
      <c r="B927" s="136"/>
    </row>
    <row r="928" spans="2:2" x14ac:dyDescent="0.2">
      <c r="B928" s="136"/>
    </row>
    <row r="929" spans="2:2" x14ac:dyDescent="0.2">
      <c r="B929" s="136"/>
    </row>
    <row r="930" spans="2:2" x14ac:dyDescent="0.2">
      <c r="B930" s="136"/>
    </row>
    <row r="931" spans="2:2" x14ac:dyDescent="0.2">
      <c r="B931" s="136"/>
    </row>
    <row r="932" spans="2:2" x14ac:dyDescent="0.2">
      <c r="B932" s="136"/>
    </row>
    <row r="933" spans="2:2" x14ac:dyDescent="0.2">
      <c r="B933" s="136"/>
    </row>
    <row r="934" spans="2:2" x14ac:dyDescent="0.2">
      <c r="B934" s="136"/>
    </row>
    <row r="935" spans="2:2" x14ac:dyDescent="0.2">
      <c r="B935" s="136"/>
    </row>
    <row r="936" spans="2:2" x14ac:dyDescent="0.2">
      <c r="B936" s="136"/>
    </row>
    <row r="937" spans="2:2" x14ac:dyDescent="0.2">
      <c r="B937" s="136"/>
    </row>
    <row r="938" spans="2:2" x14ac:dyDescent="0.2">
      <c r="B938" s="136"/>
    </row>
    <row r="939" spans="2:2" x14ac:dyDescent="0.2">
      <c r="B939" s="136"/>
    </row>
    <row r="940" spans="2:2" x14ac:dyDescent="0.2">
      <c r="B940" s="136"/>
    </row>
    <row r="941" spans="2:2" x14ac:dyDescent="0.2">
      <c r="B941" s="136"/>
    </row>
    <row r="942" spans="2:2" x14ac:dyDescent="0.2">
      <c r="B942" s="136"/>
    </row>
    <row r="943" spans="2:2" x14ac:dyDescent="0.2">
      <c r="B943" s="136"/>
    </row>
    <row r="944" spans="2:2" x14ac:dyDescent="0.2">
      <c r="B944" s="136"/>
    </row>
    <row r="945" spans="2:2" x14ac:dyDescent="0.2">
      <c r="B945" s="136"/>
    </row>
    <row r="946" spans="2:2" x14ac:dyDescent="0.2">
      <c r="B946" s="136"/>
    </row>
    <row r="947" spans="2:2" x14ac:dyDescent="0.2">
      <c r="B947" s="136"/>
    </row>
    <row r="948" spans="2:2" x14ac:dyDescent="0.2">
      <c r="B948" s="136"/>
    </row>
    <row r="949" spans="2:2" x14ac:dyDescent="0.2">
      <c r="B949" s="136"/>
    </row>
    <row r="950" spans="2:2" x14ac:dyDescent="0.2">
      <c r="B950" s="136"/>
    </row>
    <row r="951" spans="2:2" x14ac:dyDescent="0.2">
      <c r="B951" s="136"/>
    </row>
    <row r="952" spans="2:2" x14ac:dyDescent="0.2">
      <c r="B952" s="136"/>
    </row>
    <row r="953" spans="2:2" x14ac:dyDescent="0.2">
      <c r="B953" s="136"/>
    </row>
    <row r="954" spans="2:2" x14ac:dyDescent="0.2">
      <c r="B954" s="136"/>
    </row>
    <row r="955" spans="2:2" x14ac:dyDescent="0.2">
      <c r="B955" s="136"/>
    </row>
    <row r="956" spans="2:2" x14ac:dyDescent="0.2">
      <c r="B956" s="136"/>
    </row>
    <row r="957" spans="2:2" x14ac:dyDescent="0.2">
      <c r="B957" s="136"/>
    </row>
    <row r="958" spans="2:2" x14ac:dyDescent="0.2">
      <c r="B958" s="136"/>
    </row>
    <row r="959" spans="2:2" x14ac:dyDescent="0.2">
      <c r="B959" s="136"/>
    </row>
    <row r="960" spans="2:2" x14ac:dyDescent="0.2">
      <c r="B960" s="136"/>
    </row>
    <row r="961" spans="2:2" x14ac:dyDescent="0.2">
      <c r="B961" s="136"/>
    </row>
    <row r="962" spans="2:2" x14ac:dyDescent="0.2">
      <c r="B962" s="136"/>
    </row>
    <row r="963" spans="2:2" x14ac:dyDescent="0.2">
      <c r="B963" s="136"/>
    </row>
    <row r="964" spans="2:2" x14ac:dyDescent="0.2">
      <c r="B964" s="136"/>
    </row>
    <row r="965" spans="2:2" x14ac:dyDescent="0.2">
      <c r="B965" s="136"/>
    </row>
    <row r="966" spans="2:2" x14ac:dyDescent="0.2">
      <c r="B966" s="136"/>
    </row>
    <row r="967" spans="2:2" x14ac:dyDescent="0.2">
      <c r="B967" s="136"/>
    </row>
    <row r="968" spans="2:2" x14ac:dyDescent="0.2">
      <c r="B968" s="136"/>
    </row>
    <row r="969" spans="2:2" x14ac:dyDescent="0.2">
      <c r="B969" s="136"/>
    </row>
    <row r="970" spans="2:2" x14ac:dyDescent="0.2">
      <c r="B970" s="136"/>
    </row>
    <row r="971" spans="2:2" x14ac:dyDescent="0.2">
      <c r="B971" s="136"/>
    </row>
    <row r="972" spans="2:2" x14ac:dyDescent="0.2">
      <c r="B972" s="136"/>
    </row>
    <row r="973" spans="2:2" x14ac:dyDescent="0.2">
      <c r="B973" s="136"/>
    </row>
    <row r="974" spans="2:2" x14ac:dyDescent="0.2">
      <c r="B974" s="136"/>
    </row>
    <row r="975" spans="2:2" x14ac:dyDescent="0.2">
      <c r="B975" s="136"/>
    </row>
    <row r="976" spans="2:2" x14ac:dyDescent="0.2">
      <c r="B976" s="136"/>
    </row>
    <row r="977" spans="2:2" x14ac:dyDescent="0.2">
      <c r="B977" s="136"/>
    </row>
    <row r="978" spans="2:2" x14ac:dyDescent="0.2">
      <c r="B978" s="136"/>
    </row>
    <row r="979" spans="2:2" x14ac:dyDescent="0.2">
      <c r="B979" s="136"/>
    </row>
    <row r="980" spans="2:2" x14ac:dyDescent="0.2">
      <c r="B980" s="136"/>
    </row>
    <row r="981" spans="2:2" x14ac:dyDescent="0.2">
      <c r="B981" s="136"/>
    </row>
    <row r="982" spans="2:2" x14ac:dyDescent="0.2">
      <c r="B982" s="136"/>
    </row>
    <row r="983" spans="2:2" x14ac:dyDescent="0.2">
      <c r="B983" s="136"/>
    </row>
    <row r="984" spans="2:2" x14ac:dyDescent="0.2">
      <c r="B984" s="136"/>
    </row>
    <row r="985" spans="2:2" x14ac:dyDescent="0.2">
      <c r="B985" s="136"/>
    </row>
    <row r="986" spans="2:2" x14ac:dyDescent="0.2">
      <c r="B986" s="136"/>
    </row>
    <row r="987" spans="2:2" x14ac:dyDescent="0.2">
      <c r="B987" s="136"/>
    </row>
    <row r="988" spans="2:2" x14ac:dyDescent="0.2">
      <c r="B988" s="136"/>
    </row>
    <row r="989" spans="2:2" x14ac:dyDescent="0.2">
      <c r="B989" s="136"/>
    </row>
    <row r="990" spans="2:2" x14ac:dyDescent="0.2">
      <c r="B990" s="136"/>
    </row>
    <row r="991" spans="2:2" x14ac:dyDescent="0.2">
      <c r="B991" s="136"/>
    </row>
    <row r="992" spans="2:2" x14ac:dyDescent="0.2">
      <c r="B992" s="136"/>
    </row>
    <row r="993" spans="2:2" x14ac:dyDescent="0.2">
      <c r="B993" s="136"/>
    </row>
    <row r="994" spans="2:2" x14ac:dyDescent="0.2">
      <c r="B994" s="136"/>
    </row>
    <row r="995" spans="2:2" x14ac:dyDescent="0.2">
      <c r="B995" s="136"/>
    </row>
    <row r="996" spans="2:2" x14ac:dyDescent="0.2">
      <c r="B996" s="136"/>
    </row>
    <row r="997" spans="2:2" x14ac:dyDescent="0.2">
      <c r="B997" s="136"/>
    </row>
    <row r="998" spans="2:2" x14ac:dyDescent="0.2">
      <c r="B998" s="136"/>
    </row>
    <row r="999" spans="2:2" x14ac:dyDescent="0.2">
      <c r="B999" s="136"/>
    </row>
    <row r="1000" spans="2:2" x14ac:dyDescent="0.2">
      <c r="B1000" s="136"/>
    </row>
    <row r="1001" spans="2:2" x14ac:dyDescent="0.2">
      <c r="B1001" s="136"/>
    </row>
    <row r="1002" spans="2:2" x14ac:dyDescent="0.2">
      <c r="B1002" s="136"/>
    </row>
    <row r="1003" spans="2:2" x14ac:dyDescent="0.2">
      <c r="B1003" s="136"/>
    </row>
    <row r="1004" spans="2:2" x14ac:dyDescent="0.2">
      <c r="B1004" s="136"/>
    </row>
    <row r="1005" spans="2:2" x14ac:dyDescent="0.2">
      <c r="B1005" s="136"/>
    </row>
    <row r="1006" spans="2:2" x14ac:dyDescent="0.2">
      <c r="B1006" s="136"/>
    </row>
    <row r="1007" spans="2:2" x14ac:dyDescent="0.2">
      <c r="B1007" s="136"/>
    </row>
    <row r="1008" spans="2:2" x14ac:dyDescent="0.2">
      <c r="B1008" s="136"/>
    </row>
    <row r="1009" spans="2:2" x14ac:dyDescent="0.2">
      <c r="B1009" s="136"/>
    </row>
    <row r="1010" spans="2:2" x14ac:dyDescent="0.2">
      <c r="B1010" s="136"/>
    </row>
    <row r="1011" spans="2:2" x14ac:dyDescent="0.2">
      <c r="B1011" s="136"/>
    </row>
    <row r="1012" spans="2:2" x14ac:dyDescent="0.2">
      <c r="B1012" s="136"/>
    </row>
    <row r="1013" spans="2:2" x14ac:dyDescent="0.2">
      <c r="B1013" s="136"/>
    </row>
    <row r="1014" spans="2:2" x14ac:dyDescent="0.2">
      <c r="B1014" s="136"/>
    </row>
    <row r="1015" spans="2:2" x14ac:dyDescent="0.2">
      <c r="B1015" s="136"/>
    </row>
    <row r="1016" spans="2:2" x14ac:dyDescent="0.2">
      <c r="B1016" s="136"/>
    </row>
    <row r="1017" spans="2:2" x14ac:dyDescent="0.2">
      <c r="B1017" s="136"/>
    </row>
    <row r="1018" spans="2:2" x14ac:dyDescent="0.2">
      <c r="B1018" s="136"/>
    </row>
    <row r="1019" spans="2:2" x14ac:dyDescent="0.2">
      <c r="B1019" s="136"/>
    </row>
    <row r="1020" spans="2:2" x14ac:dyDescent="0.2">
      <c r="B1020" s="136"/>
    </row>
    <row r="1021" spans="2:2" x14ac:dyDescent="0.2">
      <c r="B1021" s="136"/>
    </row>
    <row r="1022" spans="2:2" x14ac:dyDescent="0.2">
      <c r="B1022" s="136"/>
    </row>
    <row r="1023" spans="2:2" x14ac:dyDescent="0.2">
      <c r="B1023" s="136"/>
    </row>
    <row r="1024" spans="2:2" x14ac:dyDescent="0.2">
      <c r="B1024" s="136"/>
    </row>
    <row r="1025" spans="2:2" x14ac:dyDescent="0.2">
      <c r="B1025" s="136"/>
    </row>
    <row r="1026" spans="2:2" x14ac:dyDescent="0.2">
      <c r="B1026" s="136"/>
    </row>
    <row r="1027" spans="2:2" x14ac:dyDescent="0.2">
      <c r="B1027" s="136"/>
    </row>
    <row r="1028" spans="2:2" x14ac:dyDescent="0.2">
      <c r="B1028" s="136"/>
    </row>
    <row r="1029" spans="2:2" x14ac:dyDescent="0.2">
      <c r="B1029" s="136"/>
    </row>
    <row r="1030" spans="2:2" x14ac:dyDescent="0.2">
      <c r="B1030" s="136"/>
    </row>
    <row r="1031" spans="2:2" x14ac:dyDescent="0.2">
      <c r="B1031" s="136"/>
    </row>
    <row r="1032" spans="2:2" x14ac:dyDescent="0.2">
      <c r="B1032" s="136"/>
    </row>
    <row r="1033" spans="2:2" x14ac:dyDescent="0.2">
      <c r="B1033" s="136"/>
    </row>
    <row r="1034" spans="2:2" x14ac:dyDescent="0.2">
      <c r="B1034" s="136"/>
    </row>
    <row r="1035" spans="2:2" x14ac:dyDescent="0.2">
      <c r="B1035" s="136"/>
    </row>
    <row r="1036" spans="2:2" x14ac:dyDescent="0.2">
      <c r="B1036" s="136"/>
    </row>
    <row r="1037" spans="2:2" x14ac:dyDescent="0.2">
      <c r="B1037" s="136"/>
    </row>
    <row r="1038" spans="2:2" x14ac:dyDescent="0.2">
      <c r="B1038" s="136"/>
    </row>
    <row r="1039" spans="2:2" x14ac:dyDescent="0.2">
      <c r="B1039" s="136"/>
    </row>
    <row r="1040" spans="2:2" x14ac:dyDescent="0.2">
      <c r="B1040" s="136"/>
    </row>
    <row r="1041" spans="2:2" x14ac:dyDescent="0.2">
      <c r="B1041" s="136"/>
    </row>
    <row r="1042" spans="2:2" x14ac:dyDescent="0.2">
      <c r="B1042" s="136"/>
    </row>
    <row r="1043" spans="2:2" x14ac:dyDescent="0.2">
      <c r="B1043" s="136"/>
    </row>
    <row r="1044" spans="2:2" x14ac:dyDescent="0.2">
      <c r="B1044" s="136"/>
    </row>
    <row r="1045" spans="2:2" x14ac:dyDescent="0.2">
      <c r="B1045" s="136"/>
    </row>
    <row r="1046" spans="2:2" x14ac:dyDescent="0.2">
      <c r="B1046" s="136"/>
    </row>
    <row r="1047" spans="2:2" x14ac:dyDescent="0.2">
      <c r="B1047" s="136"/>
    </row>
    <row r="1048" spans="2:2" x14ac:dyDescent="0.2">
      <c r="B1048" s="136"/>
    </row>
    <row r="1049" spans="2:2" x14ac:dyDescent="0.2">
      <c r="B1049" s="136"/>
    </row>
    <row r="1050" spans="2:2" x14ac:dyDescent="0.2">
      <c r="B1050" s="136"/>
    </row>
    <row r="1051" spans="2:2" x14ac:dyDescent="0.2">
      <c r="B1051" s="136"/>
    </row>
    <row r="1052" spans="2:2" x14ac:dyDescent="0.2">
      <c r="B1052" s="136"/>
    </row>
    <row r="1053" spans="2:2" x14ac:dyDescent="0.2">
      <c r="B1053" s="136"/>
    </row>
    <row r="1054" spans="2:2" x14ac:dyDescent="0.2">
      <c r="B1054" s="136"/>
    </row>
    <row r="1055" spans="2:2" x14ac:dyDescent="0.2">
      <c r="B1055" s="136"/>
    </row>
    <row r="1056" spans="2:2" x14ac:dyDescent="0.2">
      <c r="B1056" s="136"/>
    </row>
    <row r="1057" spans="2:2" x14ac:dyDescent="0.2">
      <c r="B1057" s="136"/>
    </row>
    <row r="1058" spans="2:2" x14ac:dyDescent="0.2">
      <c r="B1058" s="136"/>
    </row>
    <row r="1059" spans="2:2" x14ac:dyDescent="0.2">
      <c r="B1059" s="136"/>
    </row>
    <row r="1060" spans="2:2" x14ac:dyDescent="0.2">
      <c r="B1060" s="136"/>
    </row>
    <row r="1061" spans="2:2" x14ac:dyDescent="0.2">
      <c r="B1061" s="136"/>
    </row>
    <row r="1062" spans="2:2" x14ac:dyDescent="0.2">
      <c r="B1062" s="136"/>
    </row>
    <row r="1063" spans="2:2" x14ac:dyDescent="0.2">
      <c r="B1063" s="136"/>
    </row>
    <row r="1064" spans="2:2" x14ac:dyDescent="0.2">
      <c r="B1064" s="136"/>
    </row>
    <row r="1065" spans="2:2" x14ac:dyDescent="0.2">
      <c r="B1065" s="136"/>
    </row>
    <row r="1066" spans="2:2" x14ac:dyDescent="0.2">
      <c r="B1066" s="136"/>
    </row>
    <row r="1067" spans="2:2" x14ac:dyDescent="0.2">
      <c r="B1067" s="136"/>
    </row>
    <row r="1068" spans="2:2" x14ac:dyDescent="0.2">
      <c r="B1068" s="136"/>
    </row>
    <row r="1069" spans="2:2" x14ac:dyDescent="0.2">
      <c r="B1069" s="136"/>
    </row>
    <row r="1070" spans="2:2" x14ac:dyDescent="0.2">
      <c r="B1070" s="136"/>
    </row>
    <row r="1071" spans="2:2" x14ac:dyDescent="0.2">
      <c r="B1071" s="136"/>
    </row>
    <row r="1072" spans="2:2" x14ac:dyDescent="0.2">
      <c r="B1072" s="136"/>
    </row>
    <row r="1073" spans="2:2" x14ac:dyDescent="0.2">
      <c r="B1073" s="136"/>
    </row>
    <row r="1074" spans="2:2" x14ac:dyDescent="0.2">
      <c r="B1074" s="136"/>
    </row>
    <row r="1075" spans="2:2" x14ac:dyDescent="0.2">
      <c r="B1075" s="136"/>
    </row>
    <row r="1076" spans="2:2" x14ac:dyDescent="0.2">
      <c r="B1076" s="136"/>
    </row>
    <row r="1077" spans="2:2" x14ac:dyDescent="0.2">
      <c r="B1077" s="136"/>
    </row>
    <row r="1078" spans="2:2" x14ac:dyDescent="0.2">
      <c r="B1078" s="136"/>
    </row>
    <row r="1079" spans="2:2" x14ac:dyDescent="0.2">
      <c r="B1079" s="136"/>
    </row>
    <row r="1080" spans="2:2" x14ac:dyDescent="0.2">
      <c r="B1080" s="136"/>
    </row>
    <row r="1081" spans="2:2" x14ac:dyDescent="0.2">
      <c r="B1081" s="136"/>
    </row>
    <row r="1082" spans="2:2" x14ac:dyDescent="0.2">
      <c r="B1082" s="136"/>
    </row>
    <row r="1083" spans="2:2" x14ac:dyDescent="0.2">
      <c r="B1083" s="136"/>
    </row>
    <row r="1084" spans="2:2" x14ac:dyDescent="0.2">
      <c r="B1084" s="136"/>
    </row>
    <row r="1085" spans="2:2" x14ac:dyDescent="0.2">
      <c r="B1085" s="136"/>
    </row>
    <row r="1086" spans="2:2" x14ac:dyDescent="0.2">
      <c r="B1086" s="136"/>
    </row>
    <row r="1087" spans="2:2" x14ac:dyDescent="0.2">
      <c r="B1087" s="136"/>
    </row>
    <row r="1088" spans="2:2" x14ac:dyDescent="0.2">
      <c r="B1088" s="136"/>
    </row>
    <row r="1089" spans="2:2" x14ac:dyDescent="0.2">
      <c r="B1089" s="136"/>
    </row>
    <row r="1090" spans="2:2" x14ac:dyDescent="0.2">
      <c r="B1090" s="136"/>
    </row>
    <row r="1091" spans="2:2" x14ac:dyDescent="0.2">
      <c r="B1091" s="136"/>
    </row>
    <row r="1092" spans="2:2" x14ac:dyDescent="0.2">
      <c r="B1092" s="136"/>
    </row>
    <row r="1093" spans="2:2" x14ac:dyDescent="0.2">
      <c r="B1093" s="136"/>
    </row>
    <row r="1094" spans="2:2" x14ac:dyDescent="0.2">
      <c r="B1094" s="136"/>
    </row>
    <row r="1095" spans="2:2" x14ac:dyDescent="0.2">
      <c r="B1095" s="136"/>
    </row>
    <row r="1096" spans="2:2" x14ac:dyDescent="0.2">
      <c r="B1096" s="136"/>
    </row>
    <row r="1097" spans="2:2" x14ac:dyDescent="0.2">
      <c r="B1097" s="136"/>
    </row>
    <row r="1098" spans="2:2" x14ac:dyDescent="0.2">
      <c r="B1098" s="136"/>
    </row>
    <row r="1099" spans="2:2" x14ac:dyDescent="0.2">
      <c r="B1099" s="136"/>
    </row>
    <row r="1100" spans="2:2" x14ac:dyDescent="0.2">
      <c r="B1100" s="136"/>
    </row>
    <row r="1101" spans="2:2" x14ac:dyDescent="0.2">
      <c r="B1101" s="136"/>
    </row>
    <row r="1102" spans="2:2" x14ac:dyDescent="0.2">
      <c r="B1102" s="136"/>
    </row>
    <row r="1103" spans="2:2" x14ac:dyDescent="0.2">
      <c r="B1103" s="136"/>
    </row>
    <row r="1104" spans="2:2" x14ac:dyDescent="0.2">
      <c r="B1104" s="136"/>
    </row>
    <row r="1105" spans="2:2" x14ac:dyDescent="0.2">
      <c r="B1105" s="136"/>
    </row>
    <row r="1106" spans="2:2" x14ac:dyDescent="0.2">
      <c r="B1106" s="136"/>
    </row>
    <row r="1107" spans="2:2" x14ac:dyDescent="0.2">
      <c r="B1107" s="136"/>
    </row>
    <row r="1108" spans="2:2" x14ac:dyDescent="0.2">
      <c r="B1108" s="136"/>
    </row>
    <row r="1109" spans="2:2" x14ac:dyDescent="0.2">
      <c r="B1109" s="136"/>
    </row>
    <row r="1110" spans="2:2" x14ac:dyDescent="0.2">
      <c r="B1110" s="136"/>
    </row>
    <row r="1111" spans="2:2" x14ac:dyDescent="0.2">
      <c r="B1111" s="136"/>
    </row>
    <row r="1112" spans="2:2" x14ac:dyDescent="0.2">
      <c r="B1112" s="136"/>
    </row>
    <row r="1113" spans="2:2" x14ac:dyDescent="0.2">
      <c r="B1113" s="136"/>
    </row>
    <row r="1114" spans="2:2" x14ac:dyDescent="0.2">
      <c r="B1114" s="136"/>
    </row>
    <row r="1115" spans="2:2" x14ac:dyDescent="0.2">
      <c r="B1115" s="136"/>
    </row>
    <row r="1116" spans="2:2" x14ac:dyDescent="0.2">
      <c r="B1116" s="136"/>
    </row>
    <row r="1117" spans="2:2" x14ac:dyDescent="0.2">
      <c r="B1117" s="136"/>
    </row>
    <row r="1118" spans="2:2" x14ac:dyDescent="0.2">
      <c r="B1118" s="136"/>
    </row>
    <row r="1119" spans="2:2" x14ac:dyDescent="0.2">
      <c r="B1119" s="136"/>
    </row>
    <row r="1120" spans="2:2" x14ac:dyDescent="0.2">
      <c r="B1120" s="136"/>
    </row>
    <row r="1121" spans="2:2" x14ac:dyDescent="0.2">
      <c r="B1121" s="136"/>
    </row>
    <row r="1122" spans="2:2" x14ac:dyDescent="0.2">
      <c r="B1122" s="136"/>
    </row>
    <row r="1123" spans="2:2" x14ac:dyDescent="0.2">
      <c r="B1123" s="136"/>
    </row>
    <row r="1124" spans="2:2" x14ac:dyDescent="0.2">
      <c r="B1124" s="136"/>
    </row>
    <row r="1125" spans="2:2" x14ac:dyDescent="0.2">
      <c r="B1125" s="136"/>
    </row>
    <row r="1126" spans="2:2" x14ac:dyDescent="0.2">
      <c r="B1126" s="136"/>
    </row>
    <row r="1127" spans="2:2" x14ac:dyDescent="0.2">
      <c r="B1127" s="136"/>
    </row>
    <row r="1128" spans="2:2" x14ac:dyDescent="0.2">
      <c r="B1128" s="136"/>
    </row>
    <row r="1129" spans="2:2" x14ac:dyDescent="0.2">
      <c r="B1129" s="136"/>
    </row>
    <row r="1130" spans="2:2" x14ac:dyDescent="0.2">
      <c r="B1130" s="136"/>
    </row>
    <row r="1131" spans="2:2" x14ac:dyDescent="0.2">
      <c r="B1131" s="136"/>
    </row>
    <row r="1132" spans="2:2" x14ac:dyDescent="0.2">
      <c r="B1132" s="136"/>
    </row>
    <row r="1133" spans="2:2" x14ac:dyDescent="0.2">
      <c r="B1133" s="136"/>
    </row>
    <row r="1134" spans="2:2" x14ac:dyDescent="0.2">
      <c r="B1134" s="136"/>
    </row>
    <row r="1135" spans="2:2" x14ac:dyDescent="0.2">
      <c r="B1135" s="136"/>
    </row>
    <row r="1136" spans="2:2" x14ac:dyDescent="0.2">
      <c r="B1136" s="136"/>
    </row>
    <row r="1137" spans="2:2" x14ac:dyDescent="0.2">
      <c r="B1137" s="136"/>
    </row>
    <row r="1138" spans="2:2" x14ac:dyDescent="0.2">
      <c r="B1138" s="136"/>
    </row>
    <row r="1139" spans="2:2" x14ac:dyDescent="0.2">
      <c r="B1139" s="136"/>
    </row>
    <row r="1140" spans="2:2" x14ac:dyDescent="0.2">
      <c r="B1140" s="136"/>
    </row>
    <row r="1141" spans="2:2" x14ac:dyDescent="0.2">
      <c r="B1141" s="136"/>
    </row>
    <row r="1142" spans="2:2" x14ac:dyDescent="0.2">
      <c r="B1142" s="136"/>
    </row>
    <row r="1143" spans="2:2" x14ac:dyDescent="0.2">
      <c r="B1143" s="136"/>
    </row>
    <row r="1144" spans="2:2" x14ac:dyDescent="0.2">
      <c r="B1144" s="136"/>
    </row>
    <row r="1145" spans="2:2" x14ac:dyDescent="0.2">
      <c r="B1145" s="136"/>
    </row>
    <row r="1146" spans="2:2" x14ac:dyDescent="0.2">
      <c r="B1146" s="136"/>
    </row>
    <row r="1147" spans="2:2" x14ac:dyDescent="0.2">
      <c r="B1147" s="136"/>
    </row>
    <row r="1148" spans="2:2" x14ac:dyDescent="0.2">
      <c r="B1148" s="136"/>
    </row>
    <row r="1149" spans="2:2" x14ac:dyDescent="0.2">
      <c r="B1149" s="136"/>
    </row>
    <row r="1150" spans="2:2" x14ac:dyDescent="0.2">
      <c r="B1150" s="136"/>
    </row>
    <row r="1151" spans="2:2" x14ac:dyDescent="0.2">
      <c r="B1151" s="136"/>
    </row>
    <row r="1152" spans="2:2" x14ac:dyDescent="0.2">
      <c r="B1152" s="136"/>
    </row>
    <row r="1153" spans="2:2" x14ac:dyDescent="0.2">
      <c r="B1153" s="136"/>
    </row>
    <row r="1154" spans="2:2" x14ac:dyDescent="0.2">
      <c r="B1154" s="136"/>
    </row>
    <row r="1155" spans="2:2" x14ac:dyDescent="0.2">
      <c r="B1155" s="136"/>
    </row>
    <row r="1156" spans="2:2" x14ac:dyDescent="0.2">
      <c r="B1156" s="136"/>
    </row>
    <row r="1157" spans="2:2" x14ac:dyDescent="0.2">
      <c r="B1157" s="136"/>
    </row>
    <row r="1158" spans="2:2" x14ac:dyDescent="0.2">
      <c r="B1158" s="136"/>
    </row>
    <row r="1159" spans="2:2" x14ac:dyDescent="0.2">
      <c r="B1159" s="136"/>
    </row>
    <row r="1160" spans="2:2" x14ac:dyDescent="0.2">
      <c r="B1160" s="136"/>
    </row>
    <row r="1161" spans="2:2" x14ac:dyDescent="0.2">
      <c r="B1161" s="136"/>
    </row>
    <row r="1162" spans="2:2" x14ac:dyDescent="0.2">
      <c r="B1162" s="136"/>
    </row>
    <row r="1163" spans="2:2" x14ac:dyDescent="0.2">
      <c r="B1163" s="136"/>
    </row>
    <row r="1164" spans="2:2" x14ac:dyDescent="0.2">
      <c r="B1164" s="136"/>
    </row>
    <row r="1165" spans="2:2" x14ac:dyDescent="0.2">
      <c r="B1165" s="36"/>
    </row>
  </sheetData>
  <sheetProtection algorithmName="SHA-512" hashValue="mUe/LQiY0KzLZZIVOrBTUIoUGDaqKPODR56iPRAVvW8gXO/txwi7G8cc4OU2KdsoR2QNoBj1Tla2DzXfujsdCg==" saltValue="I3jUfk7BJsDW2ygaia2K8Q==" spinCount="100000" sheet="1" objects="1" scenarios="1"/>
  <protectedRanges>
    <protectedRange sqref="B1" name="Range1"/>
    <protectedRange sqref="B2" name="Range2"/>
  </protectedRange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Dr. ARTHUR VIEIRA</vt:lpstr>
      <vt:lpstr>Novos Medicamentos</vt:lpstr>
      <vt:lpstr>Planilha1</vt:lpstr>
      <vt:lpstr>Dr. CARLOS H</vt:lpstr>
      <vt:lpstr>Folha de Parada</vt:lpstr>
      <vt:lpstr>Infusão de Insulina</vt:lpstr>
      <vt:lpstr>UTI</vt:lpstr>
      <vt:lpstr>Macetes de Calculos</vt:lpstr>
      <vt:lpstr>SEGURANÇA</vt:lpstr>
      <vt:lpstr>DR. CARLOS HENRICK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Wanderley Alves Vieira</dc:creator>
  <cp:keywords/>
  <dc:description/>
  <cp:lastModifiedBy>ARTHUR WANDERLEY ALVES VIEIRA</cp:lastModifiedBy>
  <cp:revision/>
  <dcterms:created xsi:type="dcterms:W3CDTF">2024-08-04T22:04:35Z</dcterms:created>
  <dcterms:modified xsi:type="dcterms:W3CDTF">2025-03-02T22:06:43Z</dcterms:modified>
  <cp:category/>
  <cp:contentStatus/>
</cp:coreProperties>
</file>